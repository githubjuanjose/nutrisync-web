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2191b39dde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9f915f9e0fcc477c"/>
    <x:sheet xmlns:r="http://schemas.openxmlformats.org/officeDocument/2006/relationships" name="Funding" sheetId="2" r:id="R0cf40527758c4185"/>
    <x:sheet xmlns:r="http://schemas.openxmlformats.org/officeDocument/2006/relationships" name="Marketing" sheetId="3" r:id="Reebccce760554f87"/>
    <x:sheet xmlns:r="http://schemas.openxmlformats.org/officeDocument/2006/relationships" name="GTM inputs" sheetId="4" r:id="R0505592cff50465e"/>
    <x:sheet xmlns:r="http://schemas.openxmlformats.org/officeDocument/2006/relationships" name="GTM illustration" sheetId="5" r:id="Ra568df3b126f4654"/>
    <x:sheet xmlns:r="http://schemas.openxmlformats.org/officeDocument/2006/relationships" name="Return illustration" sheetId="6" r:id="R83f40bad42ce4ab4"/>
    <x:sheet xmlns:r="http://schemas.openxmlformats.org/officeDocument/2006/relationships" name="Sources" sheetId="7" r:id="R2b4dc7f851ba4b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&quot;-&quot;"/>
    <x:numFmt numFmtId="201" formatCode="#,##0.00;[Red](#,##0.00);&quot;-&quot;"/>
    <x:numFmt numFmtId="202" formatCode="0.0%;[Red](0.0%);&quot;-&quot;"/>
    <x:numFmt numFmtId="203" formatCode="0.00&quot;x&quot;;[Red](0.00&quot;x&quot;);&quot;-&quot;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name val="Carlito"/>
    </x:font>
    <x:font>
      <x:sz val="11"/>
      <x:color rgb="FF008000"/>
      <x:name val="Carlito"/>
    </x:font>
    <x:font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82220"/>
      </x:patternFill>
    </x:fill>
    <x:fill>
      <x:patternFill patternType="solid">
        <x:fgColor rgb="FFBF5037"/>
      </x:patternFill>
    </x:fill>
    <x:fill>
      <x:patternFill patternType="solid">
        <x:fgColor rgb="FFF8F1E9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3" fillId="4" borderId="1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2" fontId="2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vertical="center" wrapText="1"/>
    </x:xf>
    <x:xf numFmtId="201" fontId="4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 wrapText="1"/>
    </x:xf>
    <x:xf numFmtId="200" fontId="5" fillId="4" borderId="1" xfId="0" applyNumberFormat="1" applyFont="1" applyFill="1" applyBorder="1" applyAlignment="1">
      <x:alignment vertical="center" wrapText="1"/>
    </x:xf>
    <x:xf numFmtId="203" fontId="5" fillId="0" borderId="0" xfId="0" applyNumberFormat="1" applyFont="1" applyFill="1" applyBorder="1" applyAlignment="1">
      <x:alignment vertical="center" wrapText="1"/>
    </x:xf>
    <x:xf numFmtId="203" fontId="5" fillId="0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700e6848604a60" /><Relationship Type="http://schemas.openxmlformats.org/officeDocument/2006/relationships/theme" Target="/xl/theme/theme1.xml" Id="Rf339733b221c4ef7" /><Relationship Type="http://schemas.openxmlformats.org/officeDocument/2006/relationships/sharedStrings" Target="/xl/sharedStrings.xml" Id="Rd9a1dd21419c4890" /><Relationship Type="http://schemas.openxmlformats.org/officeDocument/2006/relationships/worksheet" Target="/xl/worksheets/sheet1.xml" Id="R9f915f9e0fcc477c" /><Relationship Type="http://schemas.openxmlformats.org/officeDocument/2006/relationships/worksheet" Target="/xl/worksheets/sheet2.xml" Id="R0cf40527758c4185" /><Relationship Type="http://schemas.openxmlformats.org/officeDocument/2006/relationships/worksheet" Target="/xl/worksheets/sheet3.xml" Id="Reebccce760554f87" /><Relationship Type="http://schemas.openxmlformats.org/officeDocument/2006/relationships/worksheet" Target="/xl/worksheets/sheet4.xml" Id="R0505592cff50465e" /><Relationship Type="http://schemas.openxmlformats.org/officeDocument/2006/relationships/worksheet" Target="/xl/worksheets/sheet5.xml" Id="Ra568df3b126f4654" /><Relationship Type="http://schemas.openxmlformats.org/officeDocument/2006/relationships/worksheet" Target="/xl/worksheets/sheet6.xml" Id="R83f40bad42ce4ab4" /><Relationship Type="http://schemas.openxmlformats.org/officeDocument/2006/relationships/worksheet" Target="/xl/worksheets/sheet7.xml" Id="R2b4dc7f851ba4b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5" hidden="0" customWidth="1"/>
    <x:col min="3" max="3" width="25" hidden="0" customWidth="1"/>
    <x:col min="4" max="4" width="25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4" customHeight="1">
      <x:c r="A1" s="7" t="str">
        <x:v>NUTRISYNC | FOUNDER-LED PROGRESS, EVIDENCE-LED ACCELERATION</x:v>
      </x:c>
      <x:c r="B1" s="7"/>
      <x:c r="C1" s="7"/>
      <x:c r="D1" s="7"/>
      <x:c r="E1" s="7"/>
      <x:c r="F1" s="7"/>
      <x:c r="G1" s="7"/>
    </x:row>
    <x:row r="2" ht="24" customHeight="1">
      <x:c r="A2" s="7"/>
      <x:c r="B2" s="7"/>
      <x:c r="C2" s="7"/>
      <x:c r="D2" s="7"/>
      <x:c r="E2" s="7"/>
      <x:c r="F2" s="7"/>
      <x:c r="G2" s="7"/>
    </x:row>
    <x:row r="3" ht="22" customHeight="1">
      <x:c r="A3" s="4"/>
      <x:c r="B3" s="4"/>
      <x:c r="C3" s="4"/>
      <x:c r="D3" s="4"/>
      <x:c r="E3" s="4"/>
      <x:c r="F3" s="4"/>
      <x:c r="G3" s="4"/>
    </x:row>
    <x:row r="4" ht="22" customHeight="1">
      <x:c r="A4" s="20" t="str">
        <x:v>We intend to progress within our own committed capacity. Investment changes pace and scope—not our commitment to build. This workbook compares possible budgets and tests commercial assumptions; it does not establish cash in the bank or an investment commitment.</x:v>
      </x:c>
      <x:c r="B4" s="20"/>
      <x:c r="C4" s="20"/>
      <x:c r="D4" s="20"/>
      <x:c r="E4" s="20"/>
      <x:c r="F4" s="20"/>
      <x:c r="G4" s="20"/>
    </x:row>
    <x:row r="5" ht="22" customHeight="1">
      <x:c r="A5" s="20"/>
      <x:c r="B5" s="20"/>
      <x:c r="C5" s="20"/>
      <x:c r="D5" s="20"/>
      <x:c r="E5" s="20"/>
      <x:c r="F5" s="20"/>
      <x:c r="G5" s="20"/>
    </x:row>
    <x:row r="6" ht="22" customHeight="1">
      <x:c r="A6" s="20"/>
      <x:c r="B6" s="20"/>
      <x:c r="C6" s="20"/>
      <x:c r="D6" s="20"/>
      <x:c r="E6" s="20"/>
      <x:c r="F6" s="20"/>
      <x:c r="G6" s="20"/>
    </x:row>
    <x:row r="7" ht="22" customHeight="1">
      <x:c r="A7" s="4"/>
      <x:c r="B7" s="4"/>
      <x:c r="C7" s="4"/>
      <x:c r="D7" s="4"/>
      <x:c r="E7" s="4"/>
      <x:c r="F7" s="4"/>
      <x:c r="G7" s="4"/>
    </x:row>
    <x:row r="8" ht="32" customHeight="1">
      <x:c r="A8" s="11" t="str">
        <x:v>Capital level</x:v>
      </x:c>
      <x:c r="B8" s="11" t="str">
        <x:v>Purpose</x:v>
      </x:c>
      <x:c r="C8" s="11" t="str">
        <x:v>Horizon</x:v>
      </x:c>
      <x:c r="D8" s="11" t="str">
        <x:v>Condition</x:v>
      </x:c>
      <x:c r="E8" s="4"/>
      <x:c r="F8" s="4"/>
      <x:c r="G8" s="4"/>
    </x:row>
    <x:row r="9" ht="42" customHeight="1">
      <x:c r="A9" s="4" t="str">
        <x:v>EUR 15–25K</x:v>
      </x:c>
      <x:c r="B9" s="4" t="str">
        <x:v>Narrow founder-led bridge</x:v>
      </x:c>
      <x:c r="C9" s="4" t="str">
        <x:v>~90 days</x:v>
      </x:c>
      <x:c r="D9" s="4" t="str">
        <x:v>Scoped work, not certified runway</x:v>
      </x:c>
      <x:c r="E9" s="4"/>
      <x:c r="F9" s="4"/>
      <x:c r="G9" s="4"/>
    </x:row>
    <x:row r="10" ht="42" customHeight="1">
      <x:c r="A10" s="4" t="str">
        <x:v>EUR 250–350K</x:v>
      </x:c>
      <x:c r="B10" s="4" t="str">
        <x:v>Launch and validation</x:v>
      </x:c>
      <x:c r="C10" s="4" t="str">
        <x:v>12 months</x:v>
      </x:c>
      <x:c r="D10" s="4" t="str">
        <x:v>Small delivery capacity and measured tests</x:v>
      </x:c>
      <x:c r="E10" s="4"/>
      <x:c r="F10" s="4"/>
      <x:c r="G10" s="4"/>
    </x:row>
    <x:row r="11" ht="42" customHeight="1">
      <x:c r="A11" s="4" t="str">
        <x:v>EUR 2M</x:v>
      </x:c>
      <x:c r="B11" s="4" t="str">
        <x:v>Spain repeatability</x:v>
      </x:c>
      <x:c r="C11" s="4" t="str">
        <x:v>24 months</x:v>
      </x:c>
      <x:c r="D11" s="4" t="str">
        <x:v>Proof before full media release</x:v>
      </x:c>
      <x:c r="E11" s="4"/>
      <x:c r="F11" s="4"/>
      <x:c r="G11" s="4"/>
    </x:row>
    <x:row r="12" ht="42" customHeight="1">
      <x:c r="A12" s="4" t="str">
        <x:v>EUR 5M</x:v>
      </x:c>
      <x:c r="B12" s="4" t="str">
        <x:v>Parallel work and international options</x:v>
      </x:c>
      <x:c r="C12" s="4" t="str">
        <x:v>24 months</x:v>
      </x:c>
      <x:c r="D12" s="4" t="str">
        <x:v>Candidate countries, not promised launches</x:v>
      </x:c>
      <x:c r="E12" s="4"/>
      <x:c r="F12" s="4"/>
      <x:c r="G12" s="4"/>
    </x:row>
    <x:row r="13" ht="22" customHeight="1">
      <x:c r="A13" s="4"/>
      <x:c r="B13" s="4"/>
      <x:c r="C13" s="4"/>
      <x:c r="D13" s="4"/>
      <x:c r="E13" s="4"/>
      <x:c r="F13" s="4"/>
      <x:c r="G13" s="4"/>
    </x:row>
    <x:row r="14" ht="22" customHeight="1">
      <x:c r="A14" s="4"/>
      <x:c r="B14" s="4"/>
      <x:c r="C14" s="4"/>
      <x:c r="D14" s="4"/>
      <x:c r="E14" s="4"/>
      <x:c r="F14" s="4"/>
      <x:c r="G14" s="4"/>
    </x:row>
    <x:row r="15" ht="22" customHeight="1">
      <x:c r="A15" s="4" t="str">
        <x:v>MODEL DISCIPLINE | Blue = editable assumptions; green = cross-sheet formulas; black = same-sheet formulas. Grant cash and later investment are zero. Do not combine B2C and B2B users without reconciling person-level overlap. The original financial models are separate source annexes, not replaced by this schedule.</x:v>
      </x:c>
      <x:c r="B15" s="4"/>
      <x:c r="C15" s="4"/>
      <x:c r="D15" s="4"/>
      <x:c r="E15" s="4"/>
      <x:c r="F15" s="4"/>
      <x:c r="G15" s="4"/>
    </x:row>
    <x:row r="16" ht="22" customHeight="1">
      <x:c r="A16" s="4"/>
      <x:c r="B16" s="4"/>
      <x:c r="C16" s="4"/>
      <x:c r="D16" s="4"/>
      <x:c r="E16" s="4"/>
      <x:c r="F16" s="4"/>
      <x:c r="G16" s="4"/>
    </x:row>
    <x:row r="17" ht="22" customHeight="1">
      <x:c r="A17" s="4"/>
      <x:c r="B17" s="4"/>
      <x:c r="C17" s="4"/>
      <x:c r="D17" s="4"/>
      <x:c r="E17" s="4"/>
      <x:c r="F17" s="4"/>
      <x:c r="G17" s="4"/>
    </x:row>
    <x:row r="18" ht="22" customHeight="1">
      <x:c r="A18" s="4"/>
      <x:c r="B18" s="4"/>
      <x:c r="C18" s="4"/>
      <x:c r="D18" s="4"/>
      <x:c r="E18" s="4"/>
      <x:c r="F18" s="4"/>
      <x:c r="G18" s="4"/>
    </x:row>
    <x:row r="19" ht="22" customHeight="1">
      <x:c r="A19" s="20" t="str">
        <x:v>COMMERCIAL FINDING | The worked paid funnel has media-only CAC above the illustrative unit-economic threshold. This is a stress test, not permission to spend. Funding release depends on stronger observed economics and an achievable operating plan.</x:v>
      </x:c>
      <x:c r="B19" s="20"/>
      <x:c r="C19" s="20"/>
      <x:c r="D19" s="20"/>
      <x:c r="E19" s="20"/>
      <x:c r="F19" s="20"/>
      <x:c r="G19" s="20"/>
    </x:row>
    <x:row r="20" ht="22" customHeight="1">
      <x:c r="A20" s="20"/>
      <x:c r="B20" s="20"/>
      <x:c r="C20" s="20"/>
      <x:c r="D20" s="20"/>
      <x:c r="E20" s="20"/>
      <x:c r="F20" s="20"/>
      <x:c r="G20" s="20"/>
    </x:row>
    <x:row r="21" ht="22" customHeight="1">
      <x:c r="A21" s="20"/>
      <x:c r="B21" s="20"/>
      <x:c r="C21" s="20"/>
      <x:c r="D21" s="20"/>
      <x:c r="E21" s="20"/>
      <x:c r="F21" s="20"/>
      <x:c r="G21" s="20"/>
    </x:row>
    <x:row r="22" ht="22" customHeight="1">
      <x:c r="A22" s="4"/>
      <x:c r="B22" s="4"/>
      <x:c r="C22" s="4"/>
      <x:c r="D22" s="4"/>
      <x:c r="E22" s="4"/>
      <x:c r="F22" s="4"/>
      <x:c r="G22" s="4"/>
    </x:row>
    <x:row r="23" ht="22" customHeight="1">
      <x:c r="A23" s="4"/>
      <x:c r="B23" s="4"/>
      <x:c r="C23" s="4"/>
      <x:c r="D23" s="4"/>
      <x:c r="E23" s="4"/>
      <x:c r="F23" s="4"/>
      <x:c r="G23" s="4"/>
    </x:row>
    <x:row r="24" ht="32" customHeight="1">
      <x:c r="A24" s="11" t="str">
        <x:v>KPI at month 24</x:v>
      </x:c>
      <x:c r="B24" s="11" t="str">
        <x:v>2M case</x:v>
      </x:c>
      <x:c r="C24" s="11" t="str">
        <x:v>5M case</x:v>
      </x:c>
      <x:c r="D24" s="4"/>
      <x:c r="E24" s="4"/>
      <x:c r="F24" s="4"/>
      <x:c r="G24" s="4"/>
    </x:row>
    <x:row r="25" ht="40" customHeight="1">
      <x:c r="A25" s="4" t="str">
        <x:v>Recurring annualised run rate EUR</x:v>
      </x:c>
      <x:c r="B25" s="34" t="n">
        <x:f>'GTM illustration'!B21</x:f>
        <x:v>313155.0046949237</x:v>
      </x:c>
      <x:c r="C25" s="34" t="n">
        <x:f>'GTM illustration'!C21</x:f>
        <x:v>1082900.735429706</x:v>
      </x:c>
      <x:c r="D25" s="4"/>
      <x:c r="E25" s="4"/>
      <x:c r="F25" s="4"/>
      <x:c r="G25" s="4"/>
    </x:row>
    <x:row r="26" ht="40" customHeight="1">
      <x:c r="A26" s="4" t="str">
        <x:v>Media-only new payer CAC EUR</x:v>
      </x:c>
      <x:c r="B26" s="34" t="n">
        <x:f>'GTM illustration'!B23</x:f>
        <x:v>75.75757575757575</x:v>
      </x:c>
      <x:c r="C26" s="34" t="n">
        <x:f>'GTM illustration'!C23</x:f>
        <x:v>75.75757575757575</x:v>
      </x:c>
      <x:c r="D26" s="4"/>
      <x:c r="E26" s="4"/>
      <x:c r="F26" s="4"/>
      <x:c r="G26" s="4"/>
    </x:row>
    <x:row r="27" ht="40" customHeight="1">
      <x:c r="A27" s="4" t="str">
        <x:v>Maximum CAC at chosen simple multiple EUR</x:v>
      </x:c>
      <x:c r="B27" s="34" t="n">
        <x:f>'GTM illustration'!B27</x:f>
        <x:v>30</x:v>
      </x:c>
      <x:c r="C27" s="34" t="n">
        <x:f>'GTM illustration'!C27</x:f>
        <x:v>30</x:v>
      </x:c>
      <x:c r="D27" s="4"/>
      <x:c r="E27" s="4"/>
      <x:c r="F27" s="4"/>
      <x:c r="G27" s="4"/>
    </x:row>
    <x:row r="28" ht="22" customHeight="1">
      <x:c r="A28" s="4"/>
      <x:c r="B28" s="4"/>
      <x:c r="C28" s="4"/>
      <x:c r="D28" s="4"/>
      <x:c r="E28" s="4"/>
      <x:c r="F28" s="4"/>
      <x:c r="G28" s="4"/>
    </x:row>
    <x:row r="29" ht="22" customHeight="1">
      <x:c r="A29" s="4"/>
      <x:c r="B29" s="4"/>
      <x:c r="C29" s="4"/>
      <x:c r="D29" s="4"/>
      <x:c r="E29" s="4"/>
      <x:c r="F29" s="4"/>
      <x:c r="G29" s="4"/>
    </x:row>
    <x:row r="30" ht="22" customHeight="1">
      <x:c r="A30" s="4" t="str">
        <x:v>Read with: detailed English business proposal, one-page Answers for Tony, source annex register and original-source bundle. Singapore and Australia are exploration options. Government support and digital-sector contacts are not assumed revenue or awarded funding.</x:v>
      </x:c>
      <x:c r="B30" s="4"/>
      <x:c r="C30" s="4"/>
      <x:c r="D30" s="4"/>
      <x:c r="E30" s="4"/>
      <x:c r="F30" s="4"/>
      <x:c r="G30" s="4"/>
    </x:row>
    <x:row r="31" ht="22" customHeight="1">
      <x:c r="A31" s="4"/>
      <x:c r="B31" s="4"/>
      <x:c r="C31" s="4"/>
      <x:c r="D31" s="4"/>
      <x:c r="E31" s="4"/>
      <x:c r="F31" s="4"/>
      <x:c r="G31" s="4"/>
    </x:row>
    <x:row r="32" ht="22" customHeight="1">
      <x:c r="A32" s="4"/>
      <x:c r="B32" s="4"/>
      <x:c r="C32" s="4"/>
      <x:c r="D32" s="4"/>
      <x:c r="E32" s="4"/>
      <x:c r="F32" s="4"/>
      <x:c r="G32" s="4"/>
    </x:row>
    <x:row r="33" ht="22" customHeight="1">
      <x:c r="A33" s="4"/>
      <x:c r="B33" s="4"/>
      <x:c r="C33" s="4"/>
      <x:c r="D33" s="4"/>
      <x:c r="E33" s="4"/>
      <x:c r="F33" s="4"/>
      <x:c r="G33" s="4"/>
    </x:row>
    <x:row r="34" ht="22" customHeight="1">
      <x:c r="A34" s="4"/>
      <x:c r="B34" s="4"/>
      <x:c r="C34" s="4"/>
      <x:c r="D34" s="4"/>
      <x:c r="E34" s="4"/>
      <x:c r="F34" s="4"/>
      <x:c r="G34" s="4"/>
    </x:row>
    <x:row r="35" ht="22" customHeight="1">
      <x:c r="A35" s="4"/>
      <x:c r="B35" s="4"/>
      <x:c r="C35" s="4"/>
      <x:c r="D35" s="4"/>
      <x:c r="E35" s="4"/>
      <x:c r="F35" s="4"/>
      <x:c r="G35" s="4"/>
    </x:row>
    <x:row r="36" ht="22" customHeight="1">
      <x:c r="A36" s="4"/>
      <x:c r="B36" s="4"/>
      <x:c r="C36" s="4"/>
      <x:c r="D36" s="4"/>
      <x:c r="E36" s="4"/>
      <x:c r="F36" s="4"/>
      <x:c r="G36" s="4"/>
    </x:row>
    <x:row r="37" ht="22" customHeight="1">
      <x:c r="A37" s="4"/>
      <x:c r="B37" s="4"/>
      <x:c r="C37" s="4"/>
      <x:c r="D37" s="4"/>
      <x:c r="E37" s="4"/>
      <x:c r="F37" s="4"/>
      <x:c r="G37" s="4"/>
    </x:row>
    <x:row r="38" ht="22" customHeight="1">
      <x:c r="A38" s="4"/>
      <x:c r="B38" s="4"/>
      <x:c r="C38" s="4"/>
      <x:c r="D38" s="4"/>
      <x:c r="E38" s="4"/>
      <x:c r="F38" s="4"/>
      <x:c r="G38" s="4"/>
    </x:row>
    <x:row r="39" ht="22" customHeight="1">
      <x:c r="A39" s="4"/>
      <x:c r="B39" s="4"/>
      <x:c r="C39" s="4"/>
      <x:c r="D39" s="4"/>
      <x:c r="E39" s="4"/>
      <x:c r="F39" s="4"/>
      <x:c r="G39" s="4"/>
    </x:row>
    <x:row r="40" ht="22" customHeight="1">
      <x:c r="A40" s="4"/>
      <x:c r="B40" s="4"/>
      <x:c r="C40" s="4"/>
      <x:c r="D40" s="4"/>
      <x:c r="E40" s="4"/>
      <x:c r="F40" s="4"/>
      <x:c r="G40" s="4"/>
    </x:row>
    <x:row r="41" ht="22" customHeight="1">
      <x:c r="A41" s="4"/>
      <x:c r="B41" s="4"/>
      <x:c r="C41" s="4"/>
      <x:c r="D41" s="4"/>
      <x:c r="E41" s="4"/>
      <x:c r="F41" s="4"/>
      <x:c r="G41" s="4"/>
    </x:row>
    <x:row r="42" ht="22" customHeight="1">
      <x:c r="A42" s="4"/>
      <x:c r="B42" s="4"/>
      <x:c r="C42" s="4"/>
      <x:c r="D42" s="4"/>
      <x:c r="E42" s="4"/>
      <x:c r="F42" s="4"/>
      <x:c r="G42" s="4"/>
    </x:row>
    <x:row r="43" ht="22" customHeight="1">
      <x:c r="A43" s="4"/>
      <x:c r="B43" s="4"/>
      <x:c r="C43" s="4"/>
      <x:c r="D43" s="4"/>
      <x:c r="E43" s="4"/>
      <x:c r="F43" s="4"/>
      <x:c r="G43" s="4"/>
    </x:row>
    <x:row r="44" ht="22" customHeight="1">
      <x:c r="A44" s="4"/>
      <x:c r="B44" s="4"/>
      <x:c r="C44" s="4"/>
      <x:c r="D44" s="4"/>
      <x:c r="E44" s="4"/>
      <x:c r="F44" s="4"/>
      <x:c r="G44" s="4"/>
    </x:row>
    <x:row r="45" ht="22" customHeight="1">
      <x:c r="A45" s="4"/>
      <x:c r="B45" s="4"/>
      <x:c r="C45" s="4"/>
      <x:c r="D45" s="4"/>
      <x:c r="E45" s="4"/>
      <x:c r="F45" s="4"/>
      <x:c r="G45" s="4"/>
    </x:row>
    <x:row r="46" ht="22" customHeight="1">
      <x:c r="A46" s="4"/>
      <x:c r="B46" s="4"/>
      <x:c r="C46" s="4"/>
      <x:c r="D46" s="4"/>
      <x:c r="E46" s="4"/>
      <x:c r="F46" s="4"/>
      <x:c r="G46" s="4"/>
    </x:row>
    <x:row r="47" ht="22" customHeight="1">
      <x:c r="A47" s="4"/>
      <x:c r="B47" s="4"/>
      <x:c r="C47" s="4"/>
      <x:c r="D47" s="4"/>
      <x:c r="E47" s="4"/>
      <x:c r="F47" s="4"/>
      <x:c r="G47" s="4"/>
    </x:row>
    <x:row r="48" ht="22" customHeight="1">
      <x:c r="A48" s="4"/>
      <x:c r="B48" s="4"/>
      <x:c r="C48" s="4"/>
      <x:c r="D48" s="4"/>
      <x:c r="E48" s="4"/>
      <x:c r="F48" s="4"/>
      <x:c r="G48" s="4"/>
    </x:row>
    <x:row r="49" ht="22" customHeight="1">
      <x:c r="A49" s="4"/>
      <x:c r="B49" s="4"/>
      <x:c r="C49" s="4"/>
      <x:c r="D49" s="4"/>
      <x:c r="E49" s="4"/>
      <x:c r="F49" s="4"/>
      <x:c r="G49" s="4"/>
    </x:row>
    <x:row r="50" ht="22" customHeight="1">
      <x:c r="A50" s="4"/>
      <x:c r="B50" s="4"/>
      <x:c r="C50" s="4"/>
      <x:c r="D50" s="4"/>
      <x:c r="E50" s="4"/>
      <x:c r="F50" s="4"/>
      <x:c r="G50" s="4"/>
    </x:row>
    <x:row r="51" ht="22" customHeight="1">
      <x:c r="A51" s="4"/>
      <x:c r="B51" s="4"/>
      <x:c r="C51" s="4"/>
      <x:c r="D51" s="4"/>
      <x:c r="E51" s="4"/>
      <x:c r="F51" s="4"/>
      <x:c r="G51" s="4"/>
    </x:row>
    <x:row r="52" ht="22" customHeight="1">
      <x:c r="A52" s="4"/>
      <x:c r="B52" s="4"/>
      <x:c r="C52" s="4"/>
      <x:c r="D52" s="4"/>
      <x:c r="E52" s="4"/>
      <x:c r="F52" s="4"/>
      <x:c r="G52" s="4"/>
    </x:row>
    <x:row r="53" ht="22" customHeight="1">
      <x:c r="A53" s="4"/>
      <x:c r="B53" s="4"/>
      <x:c r="C53" s="4"/>
      <x:c r="D53" s="4"/>
      <x:c r="E53" s="4"/>
      <x:c r="F53" s="4"/>
      <x:c r="G53" s="4"/>
    </x:row>
    <x:row r="54" ht="22" customHeight="1">
      <x:c r="A54" s="4"/>
      <x:c r="B54" s="4"/>
      <x:c r="C54" s="4"/>
      <x:c r="D54" s="4"/>
      <x:c r="E54" s="4"/>
      <x:c r="F54" s="4"/>
      <x:c r="G54" s="4"/>
    </x:row>
    <x:row r="55" ht="22" customHeight="1">
      <x:c r="A55" s="4"/>
      <x:c r="B55" s="4"/>
      <x:c r="C55" s="4"/>
      <x:c r="D55" s="4"/>
      <x:c r="E55" s="4"/>
      <x:c r="F55" s="4"/>
      <x:c r="G55" s="4"/>
    </x:row>
    <x:row r="56" ht="22" customHeight="1">
      <x:c r="A56" s="4"/>
      <x:c r="B56" s="4"/>
      <x:c r="C56" s="4"/>
      <x:c r="D56" s="4"/>
      <x:c r="E56" s="4"/>
      <x:c r="F56" s="4"/>
      <x:c r="G56" s="4"/>
    </x:row>
    <x:row r="57" ht="22" customHeight="1">
      <x:c r="A57" s="4"/>
      <x:c r="B57" s="4"/>
      <x:c r="C57" s="4"/>
      <x:c r="D57" s="4"/>
      <x:c r="E57" s="4"/>
      <x:c r="F57" s="4"/>
      <x:c r="G57" s="4"/>
    </x:row>
    <x:row r="58" ht="22" customHeight="1">
      <x:c r="A58" s="4"/>
      <x:c r="B58" s="4"/>
      <x:c r="C58" s="4"/>
      <x:c r="D58" s="4"/>
      <x:c r="E58" s="4"/>
      <x:c r="F58" s="4"/>
      <x:c r="G58" s="4"/>
    </x:row>
    <x:row r="59" ht="22" customHeight="1">
      <x:c r="A59" s="4"/>
      <x:c r="B59" s="4"/>
      <x:c r="C59" s="4"/>
      <x:c r="D59" s="4"/>
      <x:c r="E59" s="4"/>
      <x:c r="F59" s="4"/>
      <x:c r="G59" s="4"/>
    </x:row>
    <x:row r="60" ht="22" customHeight="1">
      <x:c r="A60" s="4"/>
      <x:c r="B60" s="4"/>
      <x:c r="C60" s="4"/>
      <x:c r="D60" s="4"/>
      <x:c r="E60" s="4"/>
      <x:c r="F60" s="4"/>
      <x:c r="G60" s="4"/>
    </x:row>
    <x:row r="61" ht="22" customHeight="1">
      <x:c r="A61" s="4"/>
      <x:c r="B61" s="4"/>
      <x:c r="C61" s="4"/>
      <x:c r="D61" s="4"/>
      <x:c r="E61" s="4"/>
      <x:c r="F61" s="4"/>
      <x:c r="G61" s="4"/>
    </x:row>
    <x:row r="62" ht="22" customHeight="1">
      <x:c r="A62" s="4"/>
      <x:c r="B62" s="4"/>
      <x:c r="C62" s="4"/>
      <x:c r="D62" s="4"/>
      <x:c r="E62" s="4"/>
      <x:c r="F62" s="4"/>
      <x:c r="G62" s="4"/>
    </x:row>
    <x:row r="63" ht="22" customHeight="1">
      <x:c r="A63" s="4"/>
      <x:c r="B63" s="4"/>
      <x:c r="C63" s="4"/>
      <x:c r="D63" s="4"/>
      <x:c r="E63" s="4"/>
      <x:c r="F63" s="4"/>
      <x:c r="G63" s="4"/>
    </x:row>
    <x:row r="64" ht="22" customHeight="1">
      <x:c r="A64" s="4"/>
      <x:c r="B64" s="4"/>
      <x:c r="C64" s="4"/>
      <x:c r="D64" s="4"/>
      <x:c r="E64" s="4"/>
      <x:c r="F64" s="4"/>
      <x:c r="G64" s="4"/>
    </x:row>
    <x:row r="65" ht="22" customHeight="1">
      <x:c r="A65" s="4"/>
      <x:c r="B65" s="4"/>
      <x:c r="C65" s="4"/>
      <x:c r="D65" s="4"/>
      <x:c r="E65" s="4"/>
      <x:c r="F65" s="4"/>
      <x:c r="G65" s="4"/>
    </x:row>
  </x:sheetData>
  <x:mergeCells>
    <x:mergeCell ref="A1:G2"/>
    <x:mergeCell ref="A4:G6"/>
    <x:mergeCell ref="A15:G17"/>
    <x:mergeCell ref="A19:G21"/>
    <x:mergeCell ref="A30:G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4" customHeight="1">
      <x:c r="A1" s="7" t="str">
        <x:v>NUTRISYNC | SIX CAPITAL ENVELOPES</x:v>
      </x:c>
      <x:c r="B1" s="7"/>
      <x:c r="C1" s="7"/>
      <x:c r="D1" s="7"/>
      <x:c r="E1" s="7"/>
      <x:c r="F1" s="7"/>
      <x:c r="G1" s="7"/>
    </x:row>
    <x:row r="2" ht="24" customHeight="1">
      <x:c r="A2" s="7"/>
      <x:c r="B2" s="7"/>
      <x:c r="C2" s="7"/>
      <x:c r="D2" s="7"/>
      <x:c r="E2" s="7"/>
      <x:c r="F2" s="7"/>
      <x:c r="G2" s="7"/>
    </x:row>
    <x:row r="3" ht="22" customHeight="1">
      <x:c r="A3" s="4" t="str">
        <x:v>EUR cash budgets · proposed scopes, not forecasts · no grants or later financing assumed</x:v>
      </x:c>
      <x:c r="B3" s="4"/>
      <x:c r="C3" s="4"/>
      <x:c r="D3" s="4"/>
      <x:c r="E3" s="4"/>
      <x:c r="F3" s="4"/>
      <x:c r="G3" s="4"/>
    </x:row>
    <x:row r="4" ht="22" customHeight="1">
      <x:c r="A4" s="4"/>
      <x:c r="B4" s="4"/>
      <x:c r="C4" s="4"/>
      <x:c r="D4" s="4"/>
      <x:c r="E4" s="4"/>
      <x:c r="F4" s="4"/>
      <x:c r="G4" s="4"/>
    </x:row>
    <x:row r="5" ht="32" customHeight="1">
      <x:c r="A5" s="11" t="str">
        <x:v>Use of funds</x:v>
      </x:c>
      <x:c r="B5" s="11" t="str">
        <x:v>15K bridge</x:v>
      </x:c>
      <x:c r="C5" s="11" t="str">
        <x:v>25K bridge</x:v>
      </x:c>
      <x:c r="D5" s="11" t="str">
        <x:v>250K launch</x:v>
      </x:c>
      <x:c r="E5" s="11" t="str">
        <x:v>350K launch</x:v>
      </x:c>
      <x:c r="F5" s="11" t="str">
        <x:v>2M scale</x:v>
      </x:c>
      <x:c r="G5" s="11" t="str">
        <x:v>5M scale</x:v>
      </x:c>
    </x:row>
    <x:row r="6" ht="37" customHeight="1">
      <x:c r="A6" s="4" t="str">
        <x:v>Product engineering and design</x:v>
      </x:c>
      <x:c r="B6" s="16" t="n">
        <x:v>3000</x:v>
      </x:c>
      <x:c r="C6" s="16" t="n">
        <x:v>5000</x:v>
      </x:c>
      <x:c r="D6" s="16" t="n">
        <x:v>80000</x:v>
      </x:c>
      <x:c r="E6" s="16" t="n">
        <x:v>105000</x:v>
      </x:c>
      <x:c r="F6" s="16" t="n">
        <x:v>420000</x:v>
      </x:c>
      <x:c r="G6" s="16" t="n">
        <x:v>900000</x:v>
      </x:c>
    </x:row>
    <x:row r="7" ht="37" customHeight="1">
      <x:c r="A7" s="4" t="str">
        <x:v>Cloud, AI usage and platform operations</x:v>
      </x:c>
      <x:c r="B7" s="16" t="n">
        <x:v>1000</x:v>
      </x:c>
      <x:c r="C7" s="16" t="n">
        <x:v>2000</x:v>
      </x:c>
      <x:c r="D7" s="16" t="n">
        <x:v>10000</x:v>
      </x:c>
      <x:c r="E7" s="16" t="n">
        <x:v>15000</x:v>
      </x:c>
      <x:c r="F7" s="16" t="n">
        <x:v>100000</x:v>
      </x:c>
      <x:c r="G7" s="16" t="n">
        <x:v>250000</x:v>
      </x:c>
    </x:row>
    <x:row r="8" ht="37" customHeight="1">
      <x:c r="A8" s="4" t="str">
        <x:v>Expert content: food, exercise and recovery</x:v>
      </x:c>
      <x:c r="B8" s="16" t="n">
        <x:v>2000</x:v>
      </x:c>
      <x:c r="C8" s="16" t="n">
        <x:v>3000</x:v>
      </x:c>
      <x:c r="D8" s="16" t="n">
        <x:v>25000</x:v>
      </x:c>
      <x:c r="E8" s="16" t="n">
        <x:v>40000</x:v>
      </x:c>
      <x:c r="F8" s="16" t="n">
        <x:v>240000</x:v>
      </x:c>
      <x:c r="G8" s="16" t="n">
        <x:v>600000</x:v>
      </x:c>
    </x:row>
    <x:row r="9" ht="37" customHeight="1">
      <x:c r="A9" s="4" t="str">
        <x:v>Clinical safety, evaluation and pregnancy</x:v>
      </x:c>
      <x:c r="B9" s="16" t="n">
        <x:v>2000</x:v>
      </x:c>
      <x:c r="C9" s="16" t="n">
        <x:v>3000</x:v>
      </x:c>
      <x:c r="D9" s="16" t="n">
        <x:v>20000</x:v>
      </x:c>
      <x:c r="E9" s="16" t="n">
        <x:v>30000</x:v>
      </x:c>
      <x:c r="F9" s="16" t="n">
        <x:v>180000</x:v>
      </x:c>
      <x:c r="G9" s="16" t="n">
        <x:v>500000</x:v>
      </x:c>
    </x:row>
    <x:row r="10" ht="37" customHeight="1">
      <x:c r="A10" s="4" t="str">
        <x:v>Marketing, media and activations</x:v>
      </x:c>
      <x:c r="B10" s="16" t="n">
        <x:v>1000</x:v>
      </x:c>
      <x:c r="C10" s="16" t="n">
        <x:v>2000</x:v>
      </x:c>
      <x:c r="D10" s="16" t="n">
        <x:v>35000</x:v>
      </x:c>
      <x:c r="E10" s="16" t="n">
        <x:v>55000</x:v>
      </x:c>
      <x:c r="F10" s="16" t="n">
        <x:v>450000</x:v>
      </x:c>
      <x:c r="G10" s="16" t="n">
        <x:v>1450000</x:v>
      </x:c>
    </x:row>
    <x:row r="11" ht="37" customHeight="1">
      <x:c r="A11" s="4" t="str">
        <x:v>Distribution and partnership delivery</x:v>
      </x:c>
      <x:c r="B11" s="16" t="n">
        <x:v>500</x:v>
      </x:c>
      <x:c r="C11" s="16" t="n">
        <x:v>1000</x:v>
      </x:c>
      <x:c r="D11" s="16" t="n">
        <x:v>15000</x:v>
      </x:c>
      <x:c r="E11" s="16" t="n">
        <x:v>25000</x:v>
      </x:c>
      <x:c r="F11" s="16" t="n">
        <x:v>200000</x:v>
      </x:c>
      <x:c r="G11" s="16" t="n">
        <x:v>500000</x:v>
      </x:c>
    </x:row>
    <x:row r="12" ht="37" customHeight="1">
      <x:c r="A12" s="4" t="str">
        <x:v>Legal, compliance and international readiness</x:v>
      </x:c>
      <x:c r="B12" s="16" t="n">
        <x:v>3000</x:v>
      </x:c>
      <x:c r="C12" s="16" t="n">
        <x:v>5000</x:v>
      </x:c>
      <x:c r="D12" s="16" t="n">
        <x:v>25000</x:v>
      </x:c>
      <x:c r="E12" s="16" t="n">
        <x:v>30000</x:v>
      </x:c>
      <x:c r="F12" s="16" t="n">
        <x:v>160000</x:v>
      </x:c>
      <x:c r="G12" s="16" t="n">
        <x:v>350000</x:v>
      </x:c>
    </x:row>
    <x:row r="13" ht="37" customHeight="1">
      <x:c r="A13" s="4" t="str">
        <x:v>Corporate operations and administration</x:v>
      </x:c>
      <x:c r="B13" s="16" t="n">
        <x:v>1500</x:v>
      </x:c>
      <x:c r="C13" s="16" t="n">
        <x:v>2000</x:v>
      </x:c>
      <x:c r="D13" s="16" t="n">
        <x:v>20000</x:v>
      </x:c>
      <x:c r="E13" s="16" t="n">
        <x:v>25000</x:v>
      </x:c>
      <x:c r="F13" s="16" t="n">
        <x:v>100000</x:v>
      </x:c>
      <x:c r="G13" s="16" t="n">
        <x:v>200000</x:v>
      </x:c>
    </x:row>
    <x:row r="14" ht="37" customHeight="1">
      <x:c r="A14" s="4" t="str">
        <x:v>Uncommitted contingency</x:v>
      </x:c>
      <x:c r="B14" s="16" t="n">
        <x:v>1000</x:v>
      </x:c>
      <x:c r="C14" s="16" t="n">
        <x:v>2000</x:v>
      </x:c>
      <x:c r="D14" s="16" t="n">
        <x:v>20000</x:v>
      </x:c>
      <x:c r="E14" s="16" t="n">
        <x:v>25000</x:v>
      </x:c>
      <x:c r="F14" s="16" t="n">
        <x:v>150000</x:v>
      </x:c>
      <x:c r="G14" s="16" t="n">
        <x:v>250000</x:v>
      </x:c>
    </x:row>
    <x:row r="15" ht="22" customHeight="1">
      <x:c r="A15" s="24" t="str">
        <x:v>TOTAL PLANNED FUNDING</x:v>
      </x:c>
      <x:c r="B15" s="25" t="n">
        <x:f>SUM(B6:B14)</x:f>
        <x:v>15000</x:v>
      </x:c>
      <x:c r="C15" s="25" t="n">
        <x:f>SUM(C6:C14)</x:f>
        <x:v>25000</x:v>
      </x:c>
      <x:c r="D15" s="25" t="n">
        <x:f>SUM(D6:D14)</x:f>
        <x:v>250000</x:v>
      </x:c>
      <x:c r="E15" s="25" t="n">
        <x:f>SUM(E6:E14)</x:f>
        <x:v>350000</x:v>
      </x:c>
      <x:c r="F15" s="25" t="n">
        <x:f>SUM(F6:F14)</x:f>
        <x:v>2000000</x:v>
      </x:c>
      <x:c r="G15" s="25" t="n">
        <x:f>SUM(G6:G14)</x:f>
        <x:v>5000000</x:v>
      </x:c>
    </x:row>
    <x:row r="16" ht="22" customHeight="1">
      <x:c r="A16" s="4"/>
      <x:c r="B16" s="17"/>
      <x:c r="C16" s="17"/>
      <x:c r="D16" s="17"/>
      <x:c r="E16" s="17"/>
      <x:c r="F16" s="17"/>
      <x:c r="G16" s="17"/>
    </x:row>
    <x:row r="17" ht="35" customHeight="1">
      <x:c r="A17" s="4" t="str">
        <x:v>Planned deployment excluding contingency</x:v>
      </x:c>
      <x:c r="B17" s="17" t="n">
        <x:f>B15-B14</x:f>
        <x:v>14000</x:v>
      </x:c>
      <x:c r="C17" s="17" t="n">
        <x:f>C15-C14</x:f>
        <x:v>23000</x:v>
      </x:c>
      <x:c r="D17" s="17" t="n">
        <x:f>D15-D14</x:f>
        <x:v>230000</x:v>
      </x:c>
      <x:c r="E17" s="17" t="n">
        <x:f>E15-E14</x:f>
        <x:v>325000</x:v>
      </x:c>
      <x:c r="F17" s="17" t="n">
        <x:f>F15-F14</x:f>
        <x:v>1850000</x:v>
      </x:c>
      <x:c r="G17" s="17" t="n">
        <x:f>G15-G14</x:f>
        <x:v>4750000</x:v>
      </x:c>
    </x:row>
    <x:row r="18" ht="35" customHeight="1">
      <x:c r="A18" s="4" t="str">
        <x:v>Planning horizon (months)</x:v>
      </x:c>
      <x:c r="B18" s="16" t="n">
        <x:v>3</x:v>
      </x:c>
      <x:c r="C18" s="16" t="n">
        <x:v>3</x:v>
      </x:c>
      <x:c r="D18" s="16" t="n">
        <x:v>12</x:v>
      </x:c>
      <x:c r="E18" s="16" t="n">
        <x:v>12</x:v>
      </x:c>
      <x:c r="F18" s="16" t="n">
        <x:v>24</x:v>
      </x:c>
      <x:c r="G18" s="16" t="n">
        <x:v>24</x:v>
      </x:c>
    </x:row>
    <x:row r="19" ht="35" customHeight="1">
      <x:c r="A19" s="4" t="str">
        <x:v>Average monthly deployment excluding contingency</x:v>
      </x:c>
      <x:c r="B19" s="17" t="n">
        <x:f>B17/B18</x:f>
        <x:v>4666.666666666667</x:v>
      </x:c>
      <x:c r="C19" s="17" t="n">
        <x:f>C17/C18</x:f>
        <x:v>7666.666666666667</x:v>
      </x:c>
      <x:c r="D19" s="17" t="n">
        <x:f>D17/D18</x:f>
        <x:v>19166.666666666668</x:v>
      </x:c>
      <x:c r="E19" s="17" t="n">
        <x:f>E17/E18</x:f>
        <x:v>27083.333333333332</x:v>
      </x:c>
      <x:c r="F19" s="17" t="n">
        <x:f>F17/F18</x:f>
        <x:v>77083.33333333333</x:v>
      </x:c>
      <x:c r="G19" s="17" t="n">
        <x:f>G17/G18</x:f>
        <x:v>197916.66666666666</x:v>
      </x:c>
    </x:row>
    <x:row r="20" ht="35" customHeight="1">
      <x:c r="A20" s="4" t="str">
        <x:v>New government grant assumed</x:v>
      </x:c>
      <x:c r="B20" s="16" t="n">
        <x:v>0</x:v>
      </x:c>
      <x:c r="C20" s="16" t="n">
        <x:v>0</x:v>
      </x:c>
      <x:c r="D20" s="16" t="n">
        <x:v>0</x:v>
      </x:c>
      <x:c r="E20" s="16" t="n">
        <x:v>0</x:v>
      </x:c>
      <x:c r="F20" s="16" t="n">
        <x:v>0</x:v>
      </x:c>
      <x:c r="G20" s="16" t="n">
        <x:v>0</x:v>
      </x:c>
    </x:row>
    <x:row r="21" ht="35" customHeight="1">
      <x:c r="A21" s="4" t="str">
        <x:v>New later investment assumed</x:v>
      </x:c>
      <x:c r="B21" s="16" t="n">
        <x:v>0</x:v>
      </x:c>
      <x:c r="C21" s="16" t="n">
        <x:v>0</x:v>
      </x:c>
      <x:c r="D21" s="16" t="n">
        <x:v>0</x:v>
      </x:c>
      <x:c r="E21" s="16" t="n">
        <x:v>0</x:v>
      </x:c>
      <x:c r="F21" s="16" t="n">
        <x:v>0</x:v>
      </x:c>
      <x:c r="G21" s="16" t="n">
        <x:v>0</x:v>
      </x:c>
    </x:row>
    <x:row r="22" ht="22" customHeight="1">
      <x:c r="A22" s="4"/>
      <x:c r="B22" s="4"/>
      <x:c r="C22" s="4"/>
      <x:c r="D22" s="4"/>
      <x:c r="E22" s="4"/>
      <x:c r="F22" s="4"/>
      <x:c r="G22" s="4"/>
    </x:row>
    <x:row r="23" ht="22" customHeight="1">
      <x:c r="A23" s="20" t="str">
        <x:v>Read each column independently. A converted bridge is not fresh cash twice. The three-month bridge is a scoped work horizon, not certified runway. Founder cash/time and actual opening balances still require approval. Do not add these alternative envelopes together.</x:v>
      </x:c>
      <x:c r="B23" s="20"/>
      <x:c r="C23" s="20"/>
      <x:c r="D23" s="20"/>
      <x:c r="E23" s="20"/>
      <x:c r="F23" s="20"/>
      <x:c r="G23" s="20"/>
    </x:row>
    <x:row r="24" ht="22" customHeight="1">
      <x:c r="A24" s="20"/>
      <x:c r="B24" s="20"/>
      <x:c r="C24" s="20"/>
      <x:c r="D24" s="20"/>
      <x:c r="E24" s="20"/>
      <x:c r="F24" s="20"/>
      <x:c r="G24" s="20"/>
    </x:row>
    <x:row r="25" ht="22" customHeight="1">
      <x:c r="A25" s="20"/>
      <x:c r="B25" s="20"/>
      <x:c r="C25" s="20"/>
      <x:c r="D25" s="20"/>
      <x:c r="E25" s="20"/>
      <x:c r="F25" s="20"/>
      <x:c r="G25" s="20"/>
    </x:row>
    <x:row r="26" ht="22" customHeight="1">
      <x:c r="A26" s="4"/>
      <x:c r="B26" s="4"/>
      <x:c r="C26" s="4"/>
      <x:c r="D26" s="4"/>
      <x:c r="E26" s="4"/>
      <x:c r="F26" s="4"/>
      <x:c r="G26" s="4"/>
    </x:row>
    <x:row r="27" ht="22" customHeight="1">
      <x:c r="A27" s="4" t="str">
        <x:v>Source: new planning allocations in the accompanying proposal, sections 4–6. Functional costs include staff and suppliers: there is no additional team line to add. Fees, taxes and payment timing need a cash schedule.</x:v>
      </x:c>
      <x:c r="B27" s="4"/>
      <x:c r="C27" s="4"/>
      <x:c r="D27" s="4"/>
      <x:c r="E27" s="4"/>
      <x:c r="F27" s="4"/>
      <x:c r="G27" s="4"/>
    </x:row>
    <x:row r="28" ht="22" customHeight="1">
      <x:c r="A28" s="4"/>
      <x:c r="B28" s="4"/>
      <x:c r="C28" s="4"/>
      <x:c r="D28" s="4"/>
      <x:c r="E28" s="4"/>
      <x:c r="F28" s="4"/>
      <x:c r="G28" s="4"/>
    </x:row>
    <x:row r="29" ht="22" customHeight="1">
      <x:c r="A29" s="4"/>
      <x:c r="B29" s="4"/>
      <x:c r="C29" s="4"/>
      <x:c r="D29" s="4"/>
      <x:c r="E29" s="4"/>
      <x:c r="F29" s="4"/>
      <x:c r="G29" s="4"/>
    </x:row>
    <x:row r="30" ht="22" customHeight="1">
      <x:c r="A30" s="4"/>
      <x:c r="B30" s="4"/>
      <x:c r="C30" s="4"/>
      <x:c r="D30" s="4"/>
      <x:c r="E30" s="4"/>
      <x:c r="F30" s="4"/>
      <x:c r="G30" s="4"/>
    </x:row>
    <x:row r="31" ht="22" customHeight="1">
      <x:c r="A31" s="4"/>
      <x:c r="B31" s="4"/>
      <x:c r="C31" s="4"/>
      <x:c r="D31" s="4"/>
      <x:c r="E31" s="4"/>
      <x:c r="F31" s="4"/>
      <x:c r="G31" s="4"/>
    </x:row>
    <x:row r="32" ht="22" customHeight="1">
      <x:c r="A32" s="4"/>
      <x:c r="B32" s="4"/>
      <x:c r="C32" s="4"/>
      <x:c r="D32" s="4"/>
      <x:c r="E32" s="4"/>
      <x:c r="F32" s="4"/>
      <x:c r="G32" s="4"/>
    </x:row>
    <x:row r="33" ht="22" customHeight="1">
      <x:c r="A33" s="4"/>
      <x:c r="B33" s="4"/>
      <x:c r="C33" s="4"/>
      <x:c r="D33" s="4"/>
      <x:c r="E33" s="4"/>
      <x:c r="F33" s="4"/>
      <x:c r="G33" s="4"/>
    </x:row>
    <x:row r="34" ht="22" customHeight="1">
      <x:c r="A34" s="4"/>
      <x:c r="B34" s="4"/>
      <x:c r="C34" s="4"/>
      <x:c r="D34" s="4"/>
      <x:c r="E34" s="4"/>
      <x:c r="F34" s="4"/>
      <x:c r="G34" s="4"/>
    </x:row>
    <x:row r="35" ht="22" customHeight="1">
      <x:c r="A35" s="4"/>
      <x:c r="B35" s="4"/>
      <x:c r="C35" s="4"/>
      <x:c r="D35" s="4"/>
      <x:c r="E35" s="4"/>
      <x:c r="F35" s="4"/>
      <x:c r="G35" s="4"/>
    </x:row>
    <x:row r="36" ht="22" customHeight="1">
      <x:c r="A36" s="4"/>
      <x:c r="B36" s="4"/>
      <x:c r="C36" s="4"/>
      <x:c r="D36" s="4"/>
      <x:c r="E36" s="4"/>
      <x:c r="F36" s="4"/>
      <x:c r="G36" s="4"/>
    </x:row>
    <x:row r="37" ht="22" customHeight="1">
      <x:c r="A37" s="4"/>
      <x:c r="B37" s="4"/>
      <x:c r="C37" s="4"/>
      <x:c r="D37" s="4"/>
      <x:c r="E37" s="4"/>
      <x:c r="F37" s="4"/>
      <x:c r="G37" s="4"/>
    </x:row>
    <x:row r="38" ht="22" customHeight="1">
      <x:c r="A38" s="4"/>
      <x:c r="B38" s="4"/>
      <x:c r="C38" s="4"/>
      <x:c r="D38" s="4"/>
      <x:c r="E38" s="4"/>
      <x:c r="F38" s="4"/>
      <x:c r="G38" s="4"/>
    </x:row>
    <x:row r="39" ht="22" customHeight="1">
      <x:c r="A39" s="4"/>
      <x:c r="B39" s="4"/>
      <x:c r="C39" s="4"/>
      <x:c r="D39" s="4"/>
      <x:c r="E39" s="4"/>
      <x:c r="F39" s="4"/>
      <x:c r="G39" s="4"/>
    </x:row>
    <x:row r="40" ht="22" customHeight="1">
      <x:c r="A40" s="4"/>
      <x:c r="B40" s="4"/>
      <x:c r="C40" s="4"/>
      <x:c r="D40" s="4"/>
      <x:c r="E40" s="4"/>
      <x:c r="F40" s="4"/>
      <x:c r="G40" s="4"/>
    </x:row>
    <x:row r="41" ht="22" customHeight="1">
      <x:c r="A41" s="4"/>
      <x:c r="B41" s="4"/>
      <x:c r="C41" s="4"/>
      <x:c r="D41" s="4"/>
      <x:c r="E41" s="4"/>
      <x:c r="F41" s="4"/>
      <x:c r="G41" s="4"/>
    </x:row>
    <x:row r="42" ht="22" customHeight="1">
      <x:c r="A42" s="4"/>
      <x:c r="B42" s="4"/>
      <x:c r="C42" s="4"/>
      <x:c r="D42" s="4"/>
      <x:c r="E42" s="4"/>
      <x:c r="F42" s="4"/>
      <x:c r="G42" s="4"/>
    </x:row>
    <x:row r="43" ht="22" customHeight="1">
      <x:c r="A43" s="4"/>
      <x:c r="B43" s="4"/>
      <x:c r="C43" s="4"/>
      <x:c r="D43" s="4"/>
      <x:c r="E43" s="4"/>
      <x:c r="F43" s="4"/>
      <x:c r="G43" s="4"/>
    </x:row>
    <x:row r="44" ht="22" customHeight="1">
      <x:c r="A44" s="4"/>
      <x:c r="B44" s="4"/>
      <x:c r="C44" s="4"/>
      <x:c r="D44" s="4"/>
      <x:c r="E44" s="4"/>
      <x:c r="F44" s="4"/>
      <x:c r="G44" s="4"/>
    </x:row>
    <x:row r="45" ht="22" customHeight="1">
      <x:c r="A45" s="4"/>
      <x:c r="B45" s="4"/>
      <x:c r="C45" s="4"/>
      <x:c r="D45" s="4"/>
      <x:c r="E45" s="4"/>
      <x:c r="F45" s="4"/>
      <x:c r="G45" s="4"/>
    </x:row>
    <x:row r="46" ht="22" customHeight="1">
      <x:c r="A46" s="4"/>
      <x:c r="B46" s="4"/>
      <x:c r="C46" s="4"/>
      <x:c r="D46" s="4"/>
      <x:c r="E46" s="4"/>
      <x:c r="F46" s="4"/>
      <x:c r="G46" s="4"/>
    </x:row>
    <x:row r="47" ht="22" customHeight="1">
      <x:c r="A47" s="4"/>
      <x:c r="B47" s="4"/>
      <x:c r="C47" s="4"/>
      <x:c r="D47" s="4"/>
      <x:c r="E47" s="4"/>
      <x:c r="F47" s="4"/>
      <x:c r="G47" s="4"/>
    </x:row>
    <x:row r="48" ht="22" customHeight="1">
      <x:c r="A48" s="4"/>
      <x:c r="B48" s="4"/>
      <x:c r="C48" s="4"/>
      <x:c r="D48" s="4"/>
      <x:c r="E48" s="4"/>
      <x:c r="F48" s="4"/>
      <x:c r="G48" s="4"/>
    </x:row>
    <x:row r="49" ht="22" customHeight="1">
      <x:c r="A49" s="4"/>
      <x:c r="B49" s="4"/>
      <x:c r="C49" s="4"/>
      <x:c r="D49" s="4"/>
      <x:c r="E49" s="4"/>
      <x:c r="F49" s="4"/>
      <x:c r="G49" s="4"/>
    </x:row>
    <x:row r="50" ht="22" customHeight="1">
      <x:c r="A50" s="4"/>
      <x:c r="B50" s="4"/>
      <x:c r="C50" s="4"/>
      <x:c r="D50" s="4"/>
      <x:c r="E50" s="4"/>
      <x:c r="F50" s="4"/>
      <x:c r="G50" s="4"/>
    </x:row>
    <x:row r="51" ht="22" customHeight="1">
      <x:c r="A51" s="4"/>
      <x:c r="B51" s="4"/>
      <x:c r="C51" s="4"/>
      <x:c r="D51" s="4"/>
      <x:c r="E51" s="4"/>
      <x:c r="F51" s="4"/>
      <x:c r="G51" s="4"/>
    </x:row>
    <x:row r="52" ht="22" customHeight="1">
      <x:c r="A52" s="4"/>
      <x:c r="B52" s="4"/>
      <x:c r="C52" s="4"/>
      <x:c r="D52" s="4"/>
      <x:c r="E52" s="4"/>
      <x:c r="F52" s="4"/>
      <x:c r="G52" s="4"/>
    </x:row>
    <x:row r="53" ht="22" customHeight="1">
      <x:c r="A53" s="4"/>
      <x:c r="B53" s="4"/>
      <x:c r="C53" s="4"/>
      <x:c r="D53" s="4"/>
      <x:c r="E53" s="4"/>
      <x:c r="F53" s="4"/>
      <x:c r="G53" s="4"/>
    </x:row>
    <x:row r="54" ht="22" customHeight="1">
      <x:c r="A54" s="4"/>
      <x:c r="B54" s="4"/>
      <x:c r="C54" s="4"/>
      <x:c r="D54" s="4"/>
      <x:c r="E54" s="4"/>
      <x:c r="F54" s="4"/>
      <x:c r="G54" s="4"/>
    </x:row>
    <x:row r="55" ht="22" customHeight="1">
      <x:c r="A55" s="4"/>
      <x:c r="B55" s="4"/>
      <x:c r="C55" s="4"/>
      <x:c r="D55" s="4"/>
      <x:c r="E55" s="4"/>
      <x:c r="F55" s="4"/>
      <x:c r="G55" s="4"/>
    </x:row>
    <x:row r="56" ht="22" customHeight="1">
      <x:c r="A56" s="4"/>
      <x:c r="B56" s="4"/>
      <x:c r="C56" s="4"/>
      <x:c r="D56" s="4"/>
      <x:c r="E56" s="4"/>
      <x:c r="F56" s="4"/>
      <x:c r="G56" s="4"/>
    </x:row>
    <x:row r="57" ht="22" customHeight="1">
      <x:c r="A57" s="4"/>
      <x:c r="B57" s="4"/>
      <x:c r="C57" s="4"/>
      <x:c r="D57" s="4"/>
      <x:c r="E57" s="4"/>
      <x:c r="F57" s="4"/>
      <x:c r="G57" s="4"/>
    </x:row>
    <x:row r="58" ht="22" customHeight="1">
      <x:c r="A58" s="4"/>
      <x:c r="B58" s="4"/>
      <x:c r="C58" s="4"/>
      <x:c r="D58" s="4"/>
      <x:c r="E58" s="4"/>
      <x:c r="F58" s="4"/>
      <x:c r="G58" s="4"/>
    </x:row>
    <x:row r="59" ht="22" customHeight="1">
      <x:c r="A59" s="4"/>
      <x:c r="B59" s="4"/>
      <x:c r="C59" s="4"/>
      <x:c r="D59" s="4"/>
      <x:c r="E59" s="4"/>
      <x:c r="F59" s="4"/>
      <x:c r="G59" s="4"/>
    </x:row>
    <x:row r="60" ht="22" customHeight="1">
      <x:c r="A60" s="4"/>
      <x:c r="B60" s="4"/>
      <x:c r="C60" s="4"/>
      <x:c r="D60" s="4"/>
      <x:c r="E60" s="4"/>
      <x:c r="F60" s="4"/>
      <x:c r="G60" s="4"/>
    </x:row>
    <x:row r="61" ht="22" customHeight="1">
      <x:c r="A61" s="4"/>
      <x:c r="B61" s="4"/>
      <x:c r="C61" s="4"/>
      <x:c r="D61" s="4"/>
      <x:c r="E61" s="4"/>
      <x:c r="F61" s="4"/>
      <x:c r="G61" s="4"/>
    </x:row>
    <x:row r="62" ht="22" customHeight="1">
      <x:c r="A62" s="4"/>
      <x:c r="B62" s="4"/>
      <x:c r="C62" s="4"/>
      <x:c r="D62" s="4"/>
      <x:c r="E62" s="4"/>
      <x:c r="F62" s="4"/>
      <x:c r="G62" s="4"/>
    </x:row>
    <x:row r="63" ht="22" customHeight="1">
      <x:c r="A63" s="4"/>
      <x:c r="B63" s="4"/>
      <x:c r="C63" s="4"/>
      <x:c r="D63" s="4"/>
      <x:c r="E63" s="4"/>
      <x:c r="F63" s="4"/>
      <x:c r="G63" s="4"/>
    </x:row>
    <x:row r="64" ht="22" customHeight="1">
      <x:c r="A64" s="4"/>
      <x:c r="B64" s="4"/>
      <x:c r="C64" s="4"/>
      <x:c r="D64" s="4"/>
      <x:c r="E64" s="4"/>
      <x:c r="F64" s="4"/>
      <x:c r="G64" s="4"/>
    </x:row>
    <x:row r="65" ht="22" customHeight="1">
      <x:c r="A65" s="4"/>
      <x:c r="B65" s="4"/>
      <x:c r="C65" s="4"/>
      <x:c r="D65" s="4"/>
      <x:c r="E65" s="4"/>
      <x:c r="F65" s="4"/>
      <x:c r="G65" s="4"/>
    </x:row>
  </x:sheetData>
  <x:mergeCells>
    <x:mergeCell ref="A1:G2"/>
    <x:mergeCell ref="A3:G3"/>
    <x:mergeCell ref="A23:G25"/>
    <x:mergeCell ref="A27:G2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38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4" customHeight="1">
      <x:c r="A1" s="7" t="str">
        <x:v>NUTRISYNC | MARKETING ALLOCATION</x:v>
      </x:c>
      <x:c r="B1" s="7"/>
      <x:c r="C1" s="7"/>
      <x:c r="D1" s="7"/>
      <x:c r="E1" s="4"/>
      <x:c r="F1" s="4"/>
      <x:c r="G1" s="4"/>
    </x:row>
    <x:row r="2" ht="24" customHeight="1">
      <x:c r="A2" s="7"/>
      <x:c r="B2" s="7"/>
      <x:c r="C2" s="7"/>
      <x:c r="D2" s="7"/>
      <x:c r="E2" s="4"/>
      <x:c r="F2" s="4"/>
      <x:c r="G2" s="4"/>
    </x:row>
    <x:row r="3" ht="22" customHeight="1">
      <x:c r="A3" s="4"/>
      <x:c r="B3" s="4"/>
      <x:c r="C3" s="4"/>
      <x:c r="D3" s="4"/>
      <x:c r="E3" s="4"/>
      <x:c r="F3" s="4"/>
      <x:c r="G3" s="4"/>
    </x:row>
    <x:row r="4" ht="22" customHeight="1">
      <x:c r="A4" s="4"/>
      <x:c r="B4" s="4"/>
      <x:c r="C4" s="4"/>
      <x:c r="D4" s="4"/>
      <x:c r="E4" s="4"/>
      <x:c r="F4" s="4"/>
      <x:c r="G4" s="4"/>
    </x:row>
    <x:row r="5" ht="32" customHeight="1">
      <x:c r="A5" s="11" t="str">
        <x:v>Activity</x:v>
      </x:c>
      <x:c r="B5" s="11" t="str">
        <x:v>2M plan EUR</x:v>
      </x:c>
      <x:c r="C5" s="11" t="str">
        <x:v>5M plan EUR</x:v>
      </x:c>
      <x:c r="D5" s="11" t="str">
        <x:v>Budget basis</x:v>
      </x:c>
      <x:c r="E5" s="4"/>
      <x:c r="F5" s="4"/>
      <x:c r="G5" s="4"/>
    </x:row>
    <x:row r="6" ht="39" customHeight="1">
      <x:c r="A6" s="4" t="str">
        <x:v>Paid digital acquisition / search</x:v>
      </x:c>
      <x:c r="B6" s="16" t="n">
        <x:v>180000</x:v>
      </x:c>
      <x:c r="C6" s="16" t="n">
        <x:v>650000</x:v>
      </x:c>
      <x:c r="D6" s="4" t="str">
        <x:v>New planning ceiling</x:v>
      </x:c>
      <x:c r="E6" s="4"/>
      <x:c r="F6" s="4"/>
      <x:c r="G6" s="4"/>
    </x:row>
    <x:row r="7" ht="39" customHeight="1">
      <x:c r="A7" s="4" t="str">
        <x:v>Creators and ambassadors</x:v>
      </x:c>
      <x:c r="B7" s="16" t="n">
        <x:v>70000</x:v>
      </x:c>
      <x:c r="C7" s="16" t="n">
        <x:v>220000</x:v>
      </x:c>
      <x:c r="D7" s="4" t="str">
        <x:v>Campaign fees and usage rights</x:v>
      </x:c>
      <x:c r="E7" s="4"/>
      <x:c r="F7" s="4"/>
      <x:c r="G7" s="4"/>
    </x:row>
    <x:row r="8" ht="39" customHeight="1">
      <x:c r="A8" s="4" t="str">
        <x:v>BTL events, roadshows, malls</x:v>
      </x:c>
      <x:c r="B8" s="16" t="n">
        <x:v>70000</x:v>
      </x:c>
      <x:c r="C8" s="16" t="n">
        <x:v>200000</x:v>
      </x:c>
      <x:c r="D8" s="4" t="str">
        <x:v>Fully costed activation</x:v>
      </x:c>
      <x:c r="E8" s="4"/>
      <x:c r="F8" s="4"/>
      <x:c r="G8" s="4"/>
    </x:row>
    <x:row r="9" ht="39" customHeight="1">
      <x:c r="A9" s="4" t="str">
        <x:v>ATL / local awareness / media / PR</x:v>
      </x:c>
      <x:c r="B9" s="16" t="n">
        <x:v>40000</x:v>
      </x:c>
      <x:c r="C9" s="16" t="n">
        <x:v>180000</x:v>
      </x:c>
      <x:c r="D9" s="4" t="str">
        <x:v>Separate purchased/earned media costs</x:v>
      </x:c>
      <x:c r="E9" s="4"/>
      <x:c r="F9" s="4"/>
      <x:c r="G9" s="4"/>
    </x:row>
    <x:row r="10" ht="39" customHeight="1">
      <x:c r="A10" s="4" t="str">
        <x:v>Searchable editorial / organic discovery</x:v>
      </x:c>
      <x:c r="B10" s="16" t="n">
        <x:v>30000</x:v>
      </x:c>
      <x:c r="C10" s="16" t="n">
        <x:v>80000</x:v>
      </x:c>
      <x:c r="D10" s="4" t="str">
        <x:v>No zero-cost organic assumption</x:v>
      </x:c>
      <x:c r="E10" s="4"/>
      <x:c r="F10" s="4"/>
      <x:c r="G10" s="4"/>
    </x:row>
    <x:row r="11" ht="39" customHeight="1">
      <x:c r="A11" s="4" t="str">
        <x:v>Lifecycle communication / referrals</x:v>
      </x:c>
      <x:c r="B11" s="16" t="n">
        <x:v>20000</x:v>
      </x:c>
      <x:c r="C11" s="16" t="n">
        <x:v>40000</x:v>
      </x:c>
      <x:c r="D11" s="4" t="str">
        <x:v>Opt-in and privacy controls</x:v>
      </x:c>
      <x:c r="E11" s="4"/>
      <x:c r="F11" s="4"/>
      <x:c r="G11" s="4"/>
    </x:row>
    <x:row r="12" ht="39" customHeight="1">
      <x:c r="A12" s="4" t="str">
        <x:v>Growth operations / measurement</x:v>
      </x:c>
      <x:c r="B12" s="16" t="n">
        <x:v>40000</x:v>
      </x:c>
      <x:c r="C12" s="16" t="n">
        <x:v>80000</x:v>
      </x:c>
      <x:c r="D12" s="4" t="str">
        <x:v>Attribution and experiment capacity</x:v>
      </x:c>
      <x:c r="E12" s="4"/>
      <x:c r="F12" s="4"/>
      <x:c r="G12" s="4"/>
    </x:row>
    <x:row r="13" ht="36" customHeight="1">
      <x:c r="A13" s="20" t="str">
        <x:v>TOTAL</x:v>
      </x:c>
      <x:c r="B13" s="21" t="n">
        <x:f>SUM(B6:B12)</x:f>
        <x:v>450000</x:v>
      </x:c>
      <x:c r="C13" s="21" t="n">
        <x:f>SUM(C6:C12)</x:f>
        <x:v>1450000</x:v>
      </x:c>
      <x:c r="D13" s="20"/>
      <x:c r="E13" s="4"/>
      <x:c r="F13" s="4"/>
      <x:c r="G13" s="4"/>
    </x:row>
    <x:row r="14" ht="36" customHeight="1">
      <x:c r="A14" s="20" t="str">
        <x:v>Funding-line reconciliation</x:v>
      </x:c>
      <x:c r="B14" s="30" t="n">
        <x:f>Funding!F10</x:f>
        <x:v>450000</x:v>
      </x:c>
      <x:c r="C14" s="30" t="n">
        <x:f>Funding!G10</x:f>
        <x:v>1450000</x:v>
      </x:c>
      <x:c r="D14" s="20"/>
      <x:c r="E14" s="4"/>
      <x:c r="F14" s="4"/>
      <x:c r="G14" s="4"/>
    </x:row>
    <x:row r="15" ht="36" customHeight="1">
      <x:c r="A15" s="20" t="str">
        <x:v>Unallocated / overallocated (must be zero)</x:v>
      </x:c>
      <x:c r="B15" s="21" t="n">
        <x:f>B14-B13</x:f>
        <x:v>0</x:v>
      </x:c>
      <x:c r="C15" s="21" t="n">
        <x:f>C14-C13</x:f>
        <x:v>0</x:v>
      </x:c>
      <x:c r="D15" s="20"/>
      <x:c r="E15" s="4"/>
      <x:c r="F15" s="4"/>
      <x:c r="G15" s="4"/>
    </x:row>
    <x:row r="16" ht="22" customHeight="1">
      <x:c r="A16" s="4"/>
      <x:c r="B16" s="17"/>
      <x:c r="C16" s="17"/>
      <x:c r="D16" s="4"/>
      <x:c r="E16" s="4"/>
      <x:c r="F16" s="4"/>
      <x:c r="G16" s="4"/>
    </x:row>
    <x:row r="17" ht="22" customHeight="1">
      <x:c r="A17" s="4"/>
      <x:c r="B17" s="17"/>
      <x:c r="C17" s="17"/>
      <x:c r="D17" s="4"/>
      <x:c r="E17" s="4"/>
      <x:c r="F17" s="4"/>
      <x:c r="G17" s="4"/>
    </x:row>
    <x:row r="18" ht="22" customHeight="1">
      <x:c r="A18" s="4" t="str">
        <x:v>Do not spend the ceiling automatically. The worked acquisition case does not justify scaling paid media. Release funding after measured conversion, retention and contribution support the channel. Content-library production and partner-sales staff are in separate functional budgets.</x:v>
      </x:c>
      <x:c r="B18" s="4"/>
      <x:c r="C18" s="4"/>
      <x:c r="D18" s="4"/>
      <x:c r="E18" s="4"/>
      <x:c r="F18" s="4"/>
      <x:c r="G18" s="4"/>
    </x:row>
    <x:row r="19" ht="22" customHeight="1">
      <x:c r="A19" s="4"/>
      <x:c r="B19" s="4"/>
      <x:c r="C19" s="4"/>
      <x:c r="D19" s="4"/>
      <x:c r="E19" s="4"/>
      <x:c r="F19" s="4"/>
      <x:c r="G19" s="4"/>
    </x:row>
    <x:row r="20" ht="22" customHeight="1">
      <x:c r="A20" s="4"/>
      <x:c r="B20" s="4"/>
      <x:c r="C20" s="4"/>
      <x:c r="D20" s="4"/>
      <x:c r="E20" s="4"/>
      <x:c r="F20" s="4"/>
      <x:c r="G20" s="4"/>
    </x:row>
    <x:row r="21" ht="22" customHeight="1">
      <x:c r="A21" s="4"/>
      <x:c r="B21" s="4"/>
      <x:c r="C21" s="4"/>
      <x:c r="D21" s="4"/>
      <x:c r="E21" s="4"/>
      <x:c r="F21" s="4"/>
      <x:c r="G21" s="4"/>
    </x:row>
    <x:row r="22" ht="22" customHeight="1">
      <x:c r="A22" s="4"/>
      <x:c r="B22" s="4"/>
      <x:c r="C22" s="4"/>
      <x:c r="D22" s="4"/>
      <x:c r="E22" s="4"/>
      <x:c r="F22" s="4"/>
      <x:c r="G22" s="4"/>
    </x:row>
    <x:row r="23" ht="22" customHeight="1">
      <x:c r="A23" s="4"/>
      <x:c r="B23" s="4"/>
      <x:c r="C23" s="4"/>
      <x:c r="D23" s="4"/>
      <x:c r="E23" s="4"/>
      <x:c r="F23" s="4"/>
      <x:c r="G23" s="4"/>
    </x:row>
    <x:row r="24" ht="22" customHeight="1">
      <x:c r="A24" s="4"/>
      <x:c r="B24" s="4"/>
      <x:c r="C24" s="4"/>
      <x:c r="D24" s="4"/>
      <x:c r="E24" s="4"/>
      <x:c r="F24" s="4"/>
      <x:c r="G24" s="4"/>
    </x:row>
    <x:row r="25" ht="22" customHeight="1">
      <x:c r="A25" s="4"/>
      <x:c r="B25" s="4"/>
      <x:c r="C25" s="4"/>
      <x:c r="D25" s="4"/>
      <x:c r="E25" s="4"/>
      <x:c r="F25" s="4"/>
      <x:c r="G25" s="4"/>
    </x:row>
    <x:row r="26" ht="22" customHeight="1">
      <x:c r="A26" s="4"/>
      <x:c r="B26" s="4"/>
      <x:c r="C26" s="4"/>
      <x:c r="D26" s="4"/>
      <x:c r="E26" s="4"/>
      <x:c r="F26" s="4"/>
      <x:c r="G26" s="4"/>
    </x:row>
    <x:row r="27" ht="22" customHeight="1">
      <x:c r="A27" s="4"/>
      <x:c r="B27" s="4"/>
      <x:c r="C27" s="4"/>
      <x:c r="D27" s="4"/>
      <x:c r="E27" s="4"/>
      <x:c r="F27" s="4"/>
      <x:c r="G27" s="4"/>
    </x:row>
    <x:row r="28" ht="22" customHeight="1">
      <x:c r="A28" s="4"/>
      <x:c r="B28" s="4"/>
      <x:c r="C28" s="4"/>
      <x:c r="D28" s="4"/>
      <x:c r="E28" s="4"/>
      <x:c r="F28" s="4"/>
      <x:c r="G28" s="4"/>
    </x:row>
    <x:row r="29" ht="22" customHeight="1">
      <x:c r="A29" s="4"/>
      <x:c r="B29" s="4"/>
      <x:c r="C29" s="4"/>
      <x:c r="D29" s="4"/>
      <x:c r="E29" s="4"/>
      <x:c r="F29" s="4"/>
      <x:c r="G29" s="4"/>
    </x:row>
    <x:row r="30" ht="22" customHeight="1">
      <x:c r="A30" s="4"/>
      <x:c r="B30" s="4"/>
      <x:c r="C30" s="4"/>
      <x:c r="D30" s="4"/>
      <x:c r="E30" s="4"/>
      <x:c r="F30" s="4"/>
      <x:c r="G30" s="4"/>
    </x:row>
    <x:row r="31" ht="22" customHeight="1">
      <x:c r="A31" s="4"/>
      <x:c r="B31" s="4"/>
      <x:c r="C31" s="4"/>
      <x:c r="D31" s="4"/>
      <x:c r="E31" s="4"/>
      <x:c r="F31" s="4"/>
      <x:c r="G31" s="4"/>
    </x:row>
    <x:row r="32" ht="22" customHeight="1">
      <x:c r="A32" s="4"/>
      <x:c r="B32" s="4"/>
      <x:c r="C32" s="4"/>
      <x:c r="D32" s="4"/>
      <x:c r="E32" s="4"/>
      <x:c r="F32" s="4"/>
      <x:c r="G32" s="4"/>
    </x:row>
    <x:row r="33" ht="22" customHeight="1">
      <x:c r="A33" s="4"/>
      <x:c r="B33" s="4"/>
      <x:c r="C33" s="4"/>
      <x:c r="D33" s="4"/>
      <x:c r="E33" s="4"/>
      <x:c r="F33" s="4"/>
      <x:c r="G33" s="4"/>
    </x:row>
    <x:row r="34" ht="22" customHeight="1">
      <x:c r="A34" s="4"/>
      <x:c r="B34" s="4"/>
      <x:c r="C34" s="4"/>
      <x:c r="D34" s="4"/>
      <x:c r="E34" s="4"/>
      <x:c r="F34" s="4"/>
      <x:c r="G34" s="4"/>
    </x:row>
    <x:row r="35" ht="22" customHeight="1">
      <x:c r="A35" s="4"/>
      <x:c r="B35" s="4"/>
      <x:c r="C35" s="4"/>
      <x:c r="D35" s="4"/>
      <x:c r="E35" s="4"/>
      <x:c r="F35" s="4"/>
      <x:c r="G35" s="4"/>
    </x:row>
    <x:row r="36" ht="22" customHeight="1">
      <x:c r="A36" s="4"/>
      <x:c r="B36" s="4"/>
      <x:c r="C36" s="4"/>
      <x:c r="D36" s="4"/>
      <x:c r="E36" s="4"/>
      <x:c r="F36" s="4"/>
      <x:c r="G36" s="4"/>
    </x:row>
    <x:row r="37" ht="22" customHeight="1">
      <x:c r="A37" s="4"/>
      <x:c r="B37" s="4"/>
      <x:c r="C37" s="4"/>
      <x:c r="D37" s="4"/>
      <x:c r="E37" s="4"/>
      <x:c r="F37" s="4"/>
      <x:c r="G37" s="4"/>
    </x:row>
    <x:row r="38" ht="22" customHeight="1">
      <x:c r="A38" s="4"/>
      <x:c r="B38" s="4"/>
      <x:c r="C38" s="4"/>
      <x:c r="D38" s="4"/>
      <x:c r="E38" s="4"/>
      <x:c r="F38" s="4"/>
      <x:c r="G38" s="4"/>
    </x:row>
    <x:row r="39" ht="22" customHeight="1">
      <x:c r="A39" s="4"/>
      <x:c r="B39" s="4"/>
      <x:c r="C39" s="4"/>
      <x:c r="D39" s="4"/>
      <x:c r="E39" s="4"/>
      <x:c r="F39" s="4"/>
      <x:c r="G39" s="4"/>
    </x:row>
    <x:row r="40" ht="22" customHeight="1">
      <x:c r="A40" s="4"/>
      <x:c r="B40" s="4"/>
      <x:c r="C40" s="4"/>
      <x:c r="D40" s="4"/>
      <x:c r="E40" s="4"/>
      <x:c r="F40" s="4"/>
      <x:c r="G40" s="4"/>
    </x:row>
    <x:row r="41" ht="22" customHeight="1">
      <x:c r="A41" s="4"/>
      <x:c r="B41" s="4"/>
      <x:c r="C41" s="4"/>
      <x:c r="D41" s="4"/>
      <x:c r="E41" s="4"/>
      <x:c r="F41" s="4"/>
      <x:c r="G41" s="4"/>
    </x:row>
    <x:row r="42" ht="22" customHeight="1">
      <x:c r="A42" s="4"/>
      <x:c r="B42" s="4"/>
      <x:c r="C42" s="4"/>
      <x:c r="D42" s="4"/>
      <x:c r="E42" s="4"/>
      <x:c r="F42" s="4"/>
      <x:c r="G42" s="4"/>
    </x:row>
    <x:row r="43" ht="22" customHeight="1">
      <x:c r="A43" s="4"/>
      <x:c r="B43" s="4"/>
      <x:c r="C43" s="4"/>
      <x:c r="D43" s="4"/>
      <x:c r="E43" s="4"/>
      <x:c r="F43" s="4"/>
      <x:c r="G43" s="4"/>
    </x:row>
    <x:row r="44" ht="22" customHeight="1">
      <x:c r="A44" s="4"/>
      <x:c r="B44" s="4"/>
      <x:c r="C44" s="4"/>
      <x:c r="D44" s="4"/>
      <x:c r="E44" s="4"/>
      <x:c r="F44" s="4"/>
      <x:c r="G44" s="4"/>
    </x:row>
    <x:row r="45" ht="22" customHeight="1">
      <x:c r="A45" s="4"/>
      <x:c r="B45" s="4"/>
      <x:c r="C45" s="4"/>
      <x:c r="D45" s="4"/>
      <x:c r="E45" s="4"/>
      <x:c r="F45" s="4"/>
      <x:c r="G45" s="4"/>
    </x:row>
    <x:row r="46" ht="22" customHeight="1">
      <x:c r="A46" s="4"/>
      <x:c r="B46" s="4"/>
      <x:c r="C46" s="4"/>
      <x:c r="D46" s="4"/>
      <x:c r="E46" s="4"/>
      <x:c r="F46" s="4"/>
      <x:c r="G46" s="4"/>
    </x:row>
    <x:row r="47" ht="22" customHeight="1">
      <x:c r="A47" s="4"/>
      <x:c r="B47" s="4"/>
      <x:c r="C47" s="4"/>
      <x:c r="D47" s="4"/>
      <x:c r="E47" s="4"/>
      <x:c r="F47" s="4"/>
      <x:c r="G47" s="4"/>
    </x:row>
    <x:row r="48" ht="22" customHeight="1">
      <x:c r="A48" s="4"/>
      <x:c r="B48" s="4"/>
      <x:c r="C48" s="4"/>
      <x:c r="D48" s="4"/>
      <x:c r="E48" s="4"/>
      <x:c r="F48" s="4"/>
      <x:c r="G48" s="4"/>
    </x:row>
    <x:row r="49" ht="22" customHeight="1">
      <x:c r="A49" s="4"/>
      <x:c r="B49" s="4"/>
      <x:c r="C49" s="4"/>
      <x:c r="D49" s="4"/>
      <x:c r="E49" s="4"/>
      <x:c r="F49" s="4"/>
      <x:c r="G49" s="4"/>
    </x:row>
    <x:row r="50" ht="22" customHeight="1">
      <x:c r="A50" s="4"/>
      <x:c r="B50" s="4"/>
      <x:c r="C50" s="4"/>
      <x:c r="D50" s="4"/>
      <x:c r="E50" s="4"/>
      <x:c r="F50" s="4"/>
      <x:c r="G50" s="4"/>
    </x:row>
    <x:row r="51" ht="22" customHeight="1">
      <x:c r="A51" s="4"/>
      <x:c r="B51" s="4"/>
      <x:c r="C51" s="4"/>
      <x:c r="D51" s="4"/>
      <x:c r="E51" s="4"/>
      <x:c r="F51" s="4"/>
      <x:c r="G51" s="4"/>
    </x:row>
    <x:row r="52" ht="22" customHeight="1">
      <x:c r="A52" s="4"/>
      <x:c r="B52" s="4"/>
      <x:c r="C52" s="4"/>
      <x:c r="D52" s="4"/>
      <x:c r="E52" s="4"/>
      <x:c r="F52" s="4"/>
      <x:c r="G52" s="4"/>
    </x:row>
    <x:row r="53" ht="22" customHeight="1">
      <x:c r="A53" s="4"/>
      <x:c r="B53" s="4"/>
      <x:c r="C53" s="4"/>
      <x:c r="D53" s="4"/>
      <x:c r="E53" s="4"/>
      <x:c r="F53" s="4"/>
      <x:c r="G53" s="4"/>
    </x:row>
    <x:row r="54" ht="22" customHeight="1">
      <x:c r="A54" s="4"/>
      <x:c r="B54" s="4"/>
      <x:c r="C54" s="4"/>
      <x:c r="D54" s="4"/>
      <x:c r="E54" s="4"/>
      <x:c r="F54" s="4"/>
      <x:c r="G54" s="4"/>
    </x:row>
    <x:row r="55" ht="22" customHeight="1">
      <x:c r="A55" s="4"/>
      <x:c r="B55" s="4"/>
      <x:c r="C55" s="4"/>
      <x:c r="D55" s="4"/>
      <x:c r="E55" s="4"/>
      <x:c r="F55" s="4"/>
      <x:c r="G55" s="4"/>
    </x:row>
    <x:row r="56" ht="22" customHeight="1">
      <x:c r="A56" s="4"/>
      <x:c r="B56" s="4"/>
      <x:c r="C56" s="4"/>
      <x:c r="D56" s="4"/>
      <x:c r="E56" s="4"/>
      <x:c r="F56" s="4"/>
      <x:c r="G56" s="4"/>
    </x:row>
    <x:row r="57" ht="22" customHeight="1">
      <x:c r="A57" s="4"/>
      <x:c r="B57" s="4"/>
      <x:c r="C57" s="4"/>
      <x:c r="D57" s="4"/>
      <x:c r="E57" s="4"/>
      <x:c r="F57" s="4"/>
      <x:c r="G57" s="4"/>
    </x:row>
    <x:row r="58" ht="22" customHeight="1">
      <x:c r="A58" s="4"/>
      <x:c r="B58" s="4"/>
      <x:c r="C58" s="4"/>
      <x:c r="D58" s="4"/>
      <x:c r="E58" s="4"/>
      <x:c r="F58" s="4"/>
      <x:c r="G58" s="4"/>
    </x:row>
    <x:row r="59" ht="22" customHeight="1">
      <x:c r="A59" s="4"/>
      <x:c r="B59" s="4"/>
      <x:c r="C59" s="4"/>
      <x:c r="D59" s="4"/>
      <x:c r="E59" s="4"/>
      <x:c r="F59" s="4"/>
      <x:c r="G59" s="4"/>
    </x:row>
    <x:row r="60" ht="22" customHeight="1">
      <x:c r="A60" s="4"/>
      <x:c r="B60" s="4"/>
      <x:c r="C60" s="4"/>
      <x:c r="D60" s="4"/>
      <x:c r="E60" s="4"/>
      <x:c r="F60" s="4"/>
      <x:c r="G60" s="4"/>
    </x:row>
    <x:row r="61" ht="22" customHeight="1">
      <x:c r="A61" s="4"/>
      <x:c r="B61" s="4"/>
      <x:c r="C61" s="4"/>
      <x:c r="D61" s="4"/>
      <x:c r="E61" s="4"/>
      <x:c r="F61" s="4"/>
      <x:c r="G61" s="4"/>
    </x:row>
    <x:row r="62" ht="22" customHeight="1">
      <x:c r="A62" s="4"/>
      <x:c r="B62" s="4"/>
      <x:c r="C62" s="4"/>
      <x:c r="D62" s="4"/>
      <x:c r="E62" s="4"/>
      <x:c r="F62" s="4"/>
      <x:c r="G62" s="4"/>
    </x:row>
    <x:row r="63" ht="22" customHeight="1">
      <x:c r="A63" s="4"/>
      <x:c r="B63" s="4"/>
      <x:c r="C63" s="4"/>
      <x:c r="D63" s="4"/>
      <x:c r="E63" s="4"/>
      <x:c r="F63" s="4"/>
      <x:c r="G63" s="4"/>
    </x:row>
    <x:row r="64" ht="22" customHeight="1">
      <x:c r="A64" s="4"/>
      <x:c r="B64" s="4"/>
      <x:c r="C64" s="4"/>
      <x:c r="D64" s="4"/>
      <x:c r="E64" s="4"/>
      <x:c r="F64" s="4"/>
      <x:c r="G64" s="4"/>
    </x:row>
    <x:row r="65" ht="22" customHeight="1">
      <x:c r="A65" s="4"/>
      <x:c r="B65" s="4"/>
      <x:c r="C65" s="4"/>
      <x:c r="D65" s="4"/>
      <x:c r="E65" s="4"/>
      <x:c r="F65" s="4"/>
      <x:c r="G65" s="4"/>
    </x:row>
  </x:sheetData>
  <x:mergeCells>
    <x:mergeCell ref="A1:D2"/>
    <x:mergeCell ref="A18:D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8" hidden="0" customWidth="1"/>
    <x:col min="5" max="5" width="38" hidden="0" customWidth="1"/>
    <x:col min="6" max="6" width="17" hidden="0" customWidth="1"/>
    <x:col min="7" max="7" width="17" hidden="0" customWidth="1"/>
  </x:cols>
  <x:sheetData>
    <x:row r="1" ht="24" customHeight="1">
      <x:c r="A1" s="7" t="str">
        <x:v>NUTRISYNC | EDITABLE GTM ASSUMPTIONS</x:v>
      </x:c>
      <x:c r="B1" s="7"/>
      <x:c r="C1" s="7"/>
      <x:c r="D1" s="7"/>
      <x:c r="E1" s="7"/>
      <x:c r="F1" s="4"/>
      <x:c r="G1" s="4"/>
    </x:row>
    <x:row r="2" ht="24" customHeight="1">
      <x:c r="A2" s="7"/>
      <x:c r="B2" s="7"/>
      <x:c r="C2" s="7"/>
      <x:c r="D2" s="7"/>
      <x:c r="E2" s="7"/>
      <x:c r="F2" s="4"/>
      <x:c r="G2" s="4"/>
    </x:row>
    <x:row r="3" ht="22" customHeight="1">
      <x:c r="A3" s="4"/>
      <x:c r="B3" s="4"/>
      <x:c r="C3" s="4"/>
      <x:c r="D3" s="4"/>
      <x:c r="E3" s="4"/>
      <x:c r="F3" s="4"/>
      <x:c r="G3" s="4"/>
    </x:row>
    <x:row r="4" ht="22" customHeight="1">
      <x:c r="A4" s="4"/>
      <x:c r="B4" s="4"/>
      <x:c r="C4" s="4"/>
      <x:c r="D4" s="4"/>
      <x:c r="E4" s="4"/>
      <x:c r="F4" s="4"/>
      <x:c r="G4" s="4"/>
    </x:row>
    <x:row r="5" ht="32" customHeight="1">
      <x:c r="A5" s="11" t="str">
        <x:v>Driver</x:v>
      </x:c>
      <x:c r="B5" s="11" t="str">
        <x:v>2M case</x:v>
      </x:c>
      <x:c r="C5" s="11" t="str">
        <x:v>5M case</x:v>
      </x:c>
      <x:c r="D5" s="11" t="str">
        <x:v>Unit</x:v>
      </x:c>
      <x:c r="E5" s="11" t="str">
        <x:v>Source / status</x:v>
      </x:c>
      <x:c r="F5" s="4"/>
      <x:c r="G5" s="4"/>
    </x:row>
    <x:row r="6" ht="37" customHeight="1">
      <x:c r="A6" s="4" t="str">
        <x:v>Paid media budget</x:v>
      </x:c>
      <x:c r="B6" s="34" t="n">
        <x:f>Marketing!B6</x:f>
        <x:v>180000</x:v>
      </x:c>
      <x:c r="C6" s="34" t="n">
        <x:f>Marketing!C6</x:f>
        <x:v>650000</x:v>
      </x:c>
      <x:c r="D6" s="4" t="str">
        <x:v>EUR</x:v>
      </x:c>
      <x:c r="E6" s="4" t="str">
        <x:v>Linked to Marketing; ceiling only</x:v>
      </x:c>
      <x:c r="F6" s="4"/>
      <x:c r="G6" s="4"/>
    </x:row>
    <x:row r="7" ht="37" customHeight="1">
      <x:c r="A7" s="4" t="str">
        <x:v>Cost per registration</x:v>
      </x:c>
      <x:c r="B7" s="35" t="n">
        <x:v>5</x:v>
      </x:c>
      <x:c r="C7" s="35" t="n">
        <x:v>5</x:v>
      </x:c>
      <x:c r="D7" s="4" t="str">
        <x:v>EUR</x:v>
      </x:c>
      <x:c r="E7" s="4" t="str">
        <x:v>New stress-test assumption</x:v>
      </x:c>
      <x:c r="F7" s="4"/>
      <x:c r="G7" s="4"/>
    </x:row>
    <x:row r="8" ht="37" customHeight="1">
      <x:c r="A8" s="4" t="str">
        <x:v>Paid registration activation</x:v>
      </x:c>
      <x:c r="B8" s="38" t="n">
        <x:v>0.55</x:v>
      </x:c>
      <x:c r="C8" s="38" t="n">
        <x:v>0.55</x:v>
      </x:c>
      <x:c r="D8" s="4" t="str">
        <x:v>%</x:v>
      </x:c>
      <x:c r="E8" s="4" t="str">
        <x:v>New, unvalidated</x:v>
      </x:c>
      <x:c r="F8" s="4"/>
      <x:c r="G8" s="4"/>
    </x:row>
    <x:row r="9" ht="37" customHeight="1">
      <x:c r="A9" s="4" t="str">
        <x:v>Paid activated-to-paying conversion</x:v>
      </x:c>
      <x:c r="B9" s="38" t="n">
        <x:v>0.12</x:v>
      </x:c>
      <x:c r="C9" s="38" t="n">
        <x:v>0.12</x:v>
      </x:c>
      <x:c r="D9" s="4" t="str">
        <x:v>%</x:v>
      </x:c>
      <x:c r="E9" s="4" t="str">
        <x:v>New, unvalidated</x:v>
      </x:c>
      <x:c r="F9" s="4"/>
      <x:c r="G9" s="4"/>
    </x:row>
    <x:row r="10" ht="37" customHeight="1">
      <x:c r="A10" s="4" t="str">
        <x:v>Owned / creator / event registrations</x:v>
      </x:c>
      <x:c r="B10" s="16" t="n">
        <x:v>16000</x:v>
      </x:c>
      <x:c r="C10" s="16" t="n">
        <x:v>50000</x:v>
      </x:c>
      <x:c r="D10" s="4" t="str">
        <x:v>registrations</x:v>
      </x:c>
      <x:c r="E10" s="4" t="str">
        <x:v>Deduplicate by person; unvalidated</x:v>
      </x:c>
      <x:c r="F10" s="4"/>
      <x:c r="G10" s="4"/>
    </x:row>
    <x:row r="11" ht="37" customHeight="1">
      <x:c r="A11" s="4" t="str">
        <x:v>Owned registration activation</x:v>
      </x:c>
      <x:c r="B11" s="38" t="n">
        <x:v>0.6</x:v>
      </x:c>
      <x:c r="C11" s="38" t="n">
        <x:v>0.6</x:v>
      </x:c>
      <x:c r="D11" s="4" t="str">
        <x:v>%</x:v>
      </x:c>
      <x:c r="E11" s="4" t="str">
        <x:v>New, unvalidated</x:v>
      </x:c>
      <x:c r="F11" s="4"/>
      <x:c r="G11" s="4"/>
    </x:row>
    <x:row r="12" ht="37" customHeight="1">
      <x:c r="A12" s="4" t="str">
        <x:v>Owned activated-to-paying conversion</x:v>
      </x:c>
      <x:c r="B12" s="38" t="n">
        <x:v>0.18</x:v>
      </x:c>
      <x:c r="C12" s="38" t="n">
        <x:v>0.18</x:v>
      </x:c>
      <x:c r="D12" s="4" t="str">
        <x:v>%</x:v>
      </x:c>
      <x:c r="E12" s="4" t="str">
        <x:v>New, unvalidated</x:v>
      </x:c>
      <x:c r="F12" s="4"/>
      <x:c r="G12" s="4"/>
    </x:row>
    <x:row r="13" ht="37" customHeight="1">
      <x:c r="A13" s="4" t="str">
        <x:v>Productive professional locations</x:v>
      </x:c>
      <x:c r="B13" s="16" t="n">
        <x:v>40</x:v>
      </x:c>
      <x:c r="C13" s="16" t="n">
        <x:v>120</x:v>
      </x:c>
      <x:c r="D13" s="4" t="str">
        <x:v>locations</x:v>
      </x:c>
      <x:c r="E13" s="4" t="str">
        <x:v>Not signed pipeline; unvalidated</x:v>
      </x:c>
      <x:c r="F13" s="4"/>
      <x:c r="G13" s="4"/>
    </x:row>
    <x:row r="14" ht="37" customHeight="1">
      <x:c r="A14" s="4" t="str">
        <x:v>Invitations per location per month</x:v>
      </x:c>
      <x:c r="B14" s="16" t="n">
        <x:v>30</x:v>
      </x:c>
      <x:c r="C14" s="16" t="n">
        <x:v>30</x:v>
      </x:c>
      <x:c r="D14" s="4" t="str">
        <x:v>invitations</x:v>
      </x:c>
      <x:c r="E14" s="4" t="str">
        <x:v>Eligible voluntary invitations only</x:v>
      </x:c>
      <x:c r="F14" s="4"/>
      <x:c r="G14" s="4"/>
    </x:row>
    <x:row r="15" ht="37" customHeight="1">
      <x:c r="A15" s="4" t="str">
        <x:v>Average active location months</x:v>
      </x:c>
      <x:c r="B15" s="16" t="n">
        <x:v>9</x:v>
      </x:c>
      <x:c r="C15" s="16" t="n">
        <x:v>9</x:v>
      </x:c>
      <x:c r="D15" s="4" t="str">
        <x:v>months</x:v>
      </x:c>
      <x:c r="E15" s="4" t="str">
        <x:v>New, unvalidated</x:v>
      </x:c>
      <x:c r="F15" s="4"/>
      <x:c r="G15" s="4"/>
    </x:row>
    <x:row r="16" ht="37" customHeight="1">
      <x:c r="A16" s="4" t="str">
        <x:v>Invitation-to-registration conversion</x:v>
      </x:c>
      <x:c r="B16" s="38" t="n">
        <x:v>0.4</x:v>
      </x:c>
      <x:c r="C16" s="38" t="n">
        <x:v>0.4</x:v>
      </x:c>
      <x:c r="D16" s="4" t="str">
        <x:v>%</x:v>
      </x:c>
      <x:c r="E16" s="4" t="str">
        <x:v>New, unvalidated</x:v>
      </x:c>
      <x:c r="F16" s="4"/>
      <x:c r="G16" s="4"/>
    </x:row>
    <x:row r="17" ht="37" customHeight="1">
      <x:c r="A17" s="4" t="str">
        <x:v>Professional registration activation</x:v>
      </x:c>
      <x:c r="B17" s="38" t="n">
        <x:v>0.6</x:v>
      </x:c>
      <x:c r="C17" s="38" t="n">
        <x:v>0.6</x:v>
      </x:c>
      <x:c r="D17" s="4" t="str">
        <x:v>%</x:v>
      </x:c>
      <x:c r="E17" s="4" t="str">
        <x:v>New, unvalidated</x:v>
      </x:c>
      <x:c r="F17" s="4"/>
      <x:c r="G17" s="4"/>
    </x:row>
    <x:row r="18" ht="37" customHeight="1">
      <x:c r="A18" s="4" t="str">
        <x:v>Professional activated-to-paid</x:v>
      </x:c>
      <x:c r="B18" s="38" t="n">
        <x:v>0.25</x:v>
      </x:c>
      <x:c r="C18" s="38" t="n">
        <x:v>0.25</x:v>
      </x:c>
      <x:c r="D18" s="4" t="str">
        <x:v>%</x:v>
      </x:c>
      <x:c r="E18" s="4" t="str">
        <x:v>New, unvalidated</x:v>
      </x:c>
      <x:c r="F18" s="4"/>
      <x:c r="G18" s="4"/>
    </x:row>
    <x:row r="19" ht="37" customHeight="1">
      <x:c r="A19" s="4" t="str">
        <x:v>Monthly B2C churn</x:v>
      </x:c>
      <x:c r="B19" s="38" t="n">
        <x:v>0.05</x:v>
      </x:c>
      <x:c r="C19" s="38" t="n">
        <x:v>0.05</x:v>
      </x:c>
      <x:c r="D19" s="4" t="str">
        <x:v>%</x:v>
      </x:c>
      <x:c r="E19" s="4" t="str">
        <x:v>Flat monthly assumption; test cohorts</x:v>
      </x:c>
      <x:c r="F19" s="4"/>
      <x:c r="G19" s="4"/>
    </x:row>
    <x:row r="20" ht="37" customHeight="1">
      <x:c r="A20" s="4" t="str">
        <x:v>Months receiving uniform additions</x:v>
      </x:c>
      <x:c r="B20" s="16" t="n">
        <x:v>18</x:v>
      </x:c>
      <x:c r="C20" s="16" t="n">
        <x:v>18</x:v>
      </x:c>
      <x:c r="D20" s="4" t="str">
        <x:v>months</x:v>
      </x:c>
      <x:c r="E20" s="4" t="str">
        <x:v>Months 7–24; simplified schedule</x:v>
      </x:c>
      <x:c r="F20" s="4"/>
      <x:c r="G20" s="4"/>
    </x:row>
    <x:row r="21" ht="37" customHeight="1">
      <x:c r="A21" s="4" t="str">
        <x:v>Active B2B contracts at endpoint</x:v>
      </x:c>
      <x:c r="B21" s="16" t="n">
        <x:v>10</x:v>
      </x:c>
      <x:c r="C21" s="16" t="n">
        <x:v>30</x:v>
      </x:c>
      <x:c r="D21" s="4" t="str">
        <x:v>contracts</x:v>
      </x:c>
      <x:c r="E21" s="4" t="str">
        <x:v>Not secured; endpoint assumption</x:v>
      </x:c>
      <x:c r="F21" s="4"/>
      <x:c r="G21" s="4"/>
    </x:row>
    <x:row r="22" ht="37" customHeight="1">
      <x:c r="A22" s="4" t="str">
        <x:v>Contracted seats per active contract</x:v>
      </x:c>
      <x:c r="B22" s="16" t="n">
        <x:v>200</x:v>
      </x:c>
      <x:c r="C22" s="16" t="n">
        <x:v>250</x:v>
      </x:c>
      <x:c r="D22" s="4" t="str">
        <x:v>billable seats</x:v>
      </x:c>
      <x:c r="E22" s="4" t="str">
        <x:v>Contracted-seat billing assumption</x:v>
      </x:c>
      <x:c r="F22" s="4"/>
      <x:c r="G22" s="4"/>
    </x:row>
    <x:row r="23" ht="37" customHeight="1">
      <x:c r="A23" s="4" t="str">
        <x:v>B2B activated share of seats</x:v>
      </x:c>
      <x:c r="B23" s="38" t="n">
        <x:v>0.6</x:v>
      </x:c>
      <x:c r="C23" s="38" t="n">
        <x:v>0.6</x:v>
      </x:c>
      <x:c r="D23" s="4" t="str">
        <x:v>%</x:v>
      </x:c>
      <x:c r="E23" s="4" t="str">
        <x:v>Not every licence is an active user</x:v>
      </x:c>
      <x:c r="F23" s="4"/>
      <x:c r="G23" s="4"/>
    </x:row>
    <x:row r="24" ht="37" customHeight="1">
      <x:c r="A24" s="4" t="str">
        <x:v>B2C monthly revenue / subscription</x:v>
      </x:c>
      <x:c r="B24" s="35" t="n">
        <x:v>6</x:v>
      </x:c>
      <x:c r="C24" s="35" t="n">
        <x:v>6</x:v>
      </x:c>
      <x:c r="D24" s="4" t="str">
        <x:v>EUR ex tax</x:v>
      </x:c>
      <x:c r="E24" s="4" t="str">
        <x:v>Illustration, not approved rate card</x:v>
      </x:c>
      <x:c r="F24" s="4"/>
      <x:c r="G24" s="4"/>
    </x:row>
    <x:row r="25" ht="37" customHeight="1">
      <x:c r="A25" s="4" t="str">
        <x:v>B2B monthly revenue / contracted seat</x:v>
      </x:c>
      <x:c r="B25" s="35" t="n">
        <x:v>3.5</x:v>
      </x:c>
      <x:c r="C25" s="35" t="n">
        <x:v>3.5</x:v>
      </x:c>
      <x:c r="D25" s="4" t="str">
        <x:v>EUR ex tax</x:v>
      </x:c>
      <x:c r="E25" s="4" t="str">
        <x:v>Illustration, not approved rate card</x:v>
      </x:c>
      <x:c r="F25" s="4"/>
      <x:c r="G25" s="4"/>
    </x:row>
    <x:row r="26" ht="37" customHeight="1">
      <x:c r="A26" s="4" t="str">
        <x:v>Contribution margin</x:v>
      </x:c>
      <x:c r="B26" s="38" t="n">
        <x:v>0.75</x:v>
      </x:c>
      <x:c r="C26" s="38" t="n">
        <x:v>0.75</x:v>
      </x:c>
      <x:c r="D26" s="4" t="str">
        <x:v>%</x:v>
      </x:c>
      <x:c r="E26" s="4" t="str">
        <x:v>After variable service costs; assumption</x:v>
      </x:c>
      <x:c r="F26" s="4"/>
      <x:c r="G26" s="4"/>
    </x:row>
    <x:row r="27" ht="37" customHeight="1">
      <x:c r="A27" s="4" t="str">
        <x:v>Minimum simple LTV / CAC test</x:v>
      </x:c>
      <x:c r="B27" s="35" t="n">
        <x:v>3</x:v>
      </x:c>
      <x:c r="C27" s="35" t="n">
        <x:v>3</x:v>
      </x:c>
      <x:c r="D27" s="4" t="str">
        <x:v>multiple</x:v>
      </x:c>
      <x:c r="E27" s="4" t="str">
        <x:v>Decision hypothesis, not guarantee</x:v>
      </x:c>
      <x:c r="F27" s="4"/>
      <x:c r="G27" s="4"/>
    </x:row>
    <x:row r="28" ht="37" customHeight="1">
      <x:c r="A28" s="4" t="str">
        <x:v>Opening B2C paid subscribers</x:v>
      </x:c>
      <x:c r="B28" s="16" t="n">
        <x:v>0</x:v>
      </x:c>
      <x:c r="C28" s="16" t="n">
        <x:v>0</x:v>
      </x:c>
      <x:c r="D28" s="4" t="str">
        <x:v>subscriptions</x:v>
      </x:c>
      <x:c r="E28" s="4" t="str">
        <x:v>No current verified paid opening base</x:v>
      </x:c>
      <x:c r="F28" s="4"/>
      <x:c r="G28" s="4"/>
    </x:row>
    <x:row r="29" ht="37" customHeight="1">
      <x:c r="A29" s="4" t="str">
        <x:v>Months per annual run rate</x:v>
      </x:c>
      <x:c r="B29" s="16" t="n">
        <x:v>12</x:v>
      </x:c>
      <x:c r="C29" s="16" t="n">
        <x:v>12</x:v>
      </x:c>
      <x:c r="D29" s="4" t="str">
        <x:v>months</x:v>
      </x:c>
      <x:c r="E29" s="4" t="str">
        <x:v>Annualisation factor, not annual revenue</x:v>
      </x:c>
      <x:c r="F29" s="4"/>
      <x:c r="G29" s="4"/>
    </x:row>
    <x:row r="30" ht="37" customHeight="1">
      <x:c r="A30" s="4" t="str">
        <x:v>Endpoint month</x:v>
      </x:c>
      <x:c r="B30" s="16" t="n">
        <x:v>24</x:v>
      </x:c>
      <x:c r="C30" s="16" t="n">
        <x:v>24</x:v>
      </x:c>
      <x:c r="D30" s="4" t="str">
        <x:v>month</x:v>
      </x:c>
      <x:c r="E30" s="4" t="str">
        <x:v>Planning horizon</x:v>
      </x:c>
      <x:c r="F30" s="4"/>
      <x:c r="G30" s="4"/>
    </x:row>
    <x:row r="31" ht="22" customHeight="1">
      <x:c r="A31" s="4"/>
      <x:c r="B31" s="4"/>
      <x:c r="C31" s="4"/>
      <x:c r="D31" s="4"/>
      <x:c r="E31" s="4"/>
      <x:c r="F31" s="4"/>
      <x:c r="G31" s="4"/>
    </x:row>
    <x:row r="32" ht="22" customHeight="1">
      <x:c r="A32" s="4" t="str">
        <x:v>All unvalidated inputs are new hypotheses, not figures extracted as approved forecasts from the historical financial model. Edit blue inputs. Green formulas reference other sheets. Reconcile B2C/B2B overlap before reporting unique people.</x:v>
      </x:c>
      <x:c r="B32" s="4"/>
      <x:c r="C32" s="4"/>
      <x:c r="D32" s="4"/>
      <x:c r="E32" s="4"/>
      <x:c r="F32" s="4"/>
      <x:c r="G32" s="4"/>
    </x:row>
    <x:row r="33" ht="22" customHeight="1">
      <x:c r="A33" s="4"/>
      <x:c r="B33" s="4"/>
      <x:c r="C33" s="4"/>
      <x:c r="D33" s="4"/>
      <x:c r="E33" s="4"/>
      <x:c r="F33" s="4"/>
      <x:c r="G33" s="4"/>
    </x:row>
    <x:row r="34" ht="22" customHeight="1">
      <x:c r="A34" s="4"/>
      <x:c r="B34" s="4"/>
      <x:c r="C34" s="4"/>
      <x:c r="D34" s="4"/>
      <x:c r="E34" s="4"/>
      <x:c r="F34" s="4"/>
      <x:c r="G34" s="4"/>
    </x:row>
    <x:row r="35" ht="22" customHeight="1">
      <x:c r="A35" s="4"/>
      <x:c r="B35" s="4"/>
      <x:c r="C35" s="4"/>
      <x:c r="D35" s="4"/>
      <x:c r="E35" s="4"/>
      <x:c r="F35" s="4"/>
      <x:c r="G35" s="4"/>
    </x:row>
    <x:row r="36" ht="22" customHeight="1">
      <x:c r="A36" s="4"/>
      <x:c r="B36" s="4"/>
      <x:c r="C36" s="4"/>
      <x:c r="D36" s="4"/>
      <x:c r="E36" s="4"/>
      <x:c r="F36" s="4"/>
      <x:c r="G36" s="4"/>
    </x:row>
    <x:row r="37" ht="22" customHeight="1">
      <x:c r="A37" s="4"/>
      <x:c r="B37" s="4"/>
      <x:c r="C37" s="4"/>
      <x:c r="D37" s="4"/>
      <x:c r="E37" s="4"/>
      <x:c r="F37" s="4"/>
      <x:c r="G37" s="4"/>
    </x:row>
    <x:row r="38" ht="22" customHeight="1">
      <x:c r="A38" s="4"/>
      <x:c r="B38" s="4"/>
      <x:c r="C38" s="4"/>
      <x:c r="D38" s="4"/>
      <x:c r="E38" s="4"/>
      <x:c r="F38" s="4"/>
      <x:c r="G38" s="4"/>
    </x:row>
    <x:row r="39" ht="22" customHeight="1">
      <x:c r="A39" s="4"/>
      <x:c r="B39" s="4"/>
      <x:c r="C39" s="4"/>
      <x:c r="D39" s="4"/>
      <x:c r="E39" s="4"/>
      <x:c r="F39" s="4"/>
      <x:c r="G39" s="4"/>
    </x:row>
    <x:row r="40" ht="22" customHeight="1">
      <x:c r="A40" s="4"/>
      <x:c r="B40" s="4"/>
      <x:c r="C40" s="4"/>
      <x:c r="D40" s="4"/>
      <x:c r="E40" s="4"/>
      <x:c r="F40" s="4"/>
      <x:c r="G40" s="4"/>
    </x:row>
    <x:row r="41" ht="22" customHeight="1">
      <x:c r="A41" s="4"/>
      <x:c r="B41" s="4"/>
      <x:c r="C41" s="4"/>
      <x:c r="D41" s="4"/>
      <x:c r="E41" s="4"/>
      <x:c r="F41" s="4"/>
      <x:c r="G41" s="4"/>
    </x:row>
    <x:row r="42" ht="22" customHeight="1">
      <x:c r="A42" s="4"/>
      <x:c r="B42" s="4"/>
      <x:c r="C42" s="4"/>
      <x:c r="D42" s="4"/>
      <x:c r="E42" s="4"/>
      <x:c r="F42" s="4"/>
      <x:c r="G42" s="4"/>
    </x:row>
    <x:row r="43" ht="22" customHeight="1">
      <x:c r="A43" s="4"/>
      <x:c r="B43" s="4"/>
      <x:c r="C43" s="4"/>
      <x:c r="D43" s="4"/>
      <x:c r="E43" s="4"/>
      <x:c r="F43" s="4"/>
      <x:c r="G43" s="4"/>
    </x:row>
    <x:row r="44" ht="22" customHeight="1">
      <x:c r="A44" s="4"/>
      <x:c r="B44" s="4"/>
      <x:c r="C44" s="4"/>
      <x:c r="D44" s="4"/>
      <x:c r="E44" s="4"/>
      <x:c r="F44" s="4"/>
      <x:c r="G44" s="4"/>
    </x:row>
    <x:row r="45" ht="22" customHeight="1">
      <x:c r="A45" s="4"/>
      <x:c r="B45" s="4"/>
      <x:c r="C45" s="4"/>
      <x:c r="D45" s="4"/>
      <x:c r="E45" s="4"/>
      <x:c r="F45" s="4"/>
      <x:c r="G45" s="4"/>
    </x:row>
    <x:row r="46" ht="22" customHeight="1">
      <x:c r="A46" s="4"/>
      <x:c r="B46" s="4"/>
      <x:c r="C46" s="4"/>
      <x:c r="D46" s="4"/>
      <x:c r="E46" s="4"/>
      <x:c r="F46" s="4"/>
      <x:c r="G46" s="4"/>
    </x:row>
    <x:row r="47" ht="22" customHeight="1">
      <x:c r="A47" s="4"/>
      <x:c r="B47" s="4"/>
      <x:c r="C47" s="4"/>
      <x:c r="D47" s="4"/>
      <x:c r="E47" s="4"/>
      <x:c r="F47" s="4"/>
      <x:c r="G47" s="4"/>
    </x:row>
    <x:row r="48" ht="22" customHeight="1">
      <x:c r="A48" s="4"/>
      <x:c r="B48" s="4"/>
      <x:c r="C48" s="4"/>
      <x:c r="D48" s="4"/>
      <x:c r="E48" s="4"/>
      <x:c r="F48" s="4"/>
      <x:c r="G48" s="4"/>
    </x:row>
    <x:row r="49" ht="22" customHeight="1">
      <x:c r="A49" s="4"/>
      <x:c r="B49" s="4"/>
      <x:c r="C49" s="4"/>
      <x:c r="D49" s="4"/>
      <x:c r="E49" s="4"/>
      <x:c r="F49" s="4"/>
      <x:c r="G49" s="4"/>
    </x:row>
    <x:row r="50" ht="22" customHeight="1">
      <x:c r="A50" s="4"/>
      <x:c r="B50" s="4"/>
      <x:c r="C50" s="4"/>
      <x:c r="D50" s="4"/>
      <x:c r="E50" s="4"/>
      <x:c r="F50" s="4"/>
      <x:c r="G50" s="4"/>
    </x:row>
    <x:row r="51" ht="22" customHeight="1">
      <x:c r="A51" s="4"/>
      <x:c r="B51" s="4"/>
      <x:c r="C51" s="4"/>
      <x:c r="D51" s="4"/>
      <x:c r="E51" s="4"/>
      <x:c r="F51" s="4"/>
      <x:c r="G51" s="4"/>
    </x:row>
    <x:row r="52" ht="22" customHeight="1">
      <x:c r="A52" s="4"/>
      <x:c r="B52" s="4"/>
      <x:c r="C52" s="4"/>
      <x:c r="D52" s="4"/>
      <x:c r="E52" s="4"/>
      <x:c r="F52" s="4"/>
      <x:c r="G52" s="4"/>
    </x:row>
    <x:row r="53" ht="22" customHeight="1">
      <x:c r="A53" s="4"/>
      <x:c r="B53" s="4"/>
      <x:c r="C53" s="4"/>
      <x:c r="D53" s="4"/>
      <x:c r="E53" s="4"/>
      <x:c r="F53" s="4"/>
      <x:c r="G53" s="4"/>
    </x:row>
    <x:row r="54" ht="22" customHeight="1">
      <x:c r="A54" s="4"/>
      <x:c r="B54" s="4"/>
      <x:c r="C54" s="4"/>
      <x:c r="D54" s="4"/>
      <x:c r="E54" s="4"/>
      <x:c r="F54" s="4"/>
      <x:c r="G54" s="4"/>
    </x:row>
    <x:row r="55" ht="22" customHeight="1">
      <x:c r="A55" s="4"/>
      <x:c r="B55" s="4"/>
      <x:c r="C55" s="4"/>
      <x:c r="D55" s="4"/>
      <x:c r="E55" s="4"/>
      <x:c r="F55" s="4"/>
      <x:c r="G55" s="4"/>
    </x:row>
    <x:row r="56" ht="22" customHeight="1">
      <x:c r="A56" s="4"/>
      <x:c r="B56" s="4"/>
      <x:c r="C56" s="4"/>
      <x:c r="D56" s="4"/>
      <x:c r="E56" s="4"/>
      <x:c r="F56" s="4"/>
      <x:c r="G56" s="4"/>
    </x:row>
    <x:row r="57" ht="22" customHeight="1">
      <x:c r="A57" s="4"/>
      <x:c r="B57" s="4"/>
      <x:c r="C57" s="4"/>
      <x:c r="D57" s="4"/>
      <x:c r="E57" s="4"/>
      <x:c r="F57" s="4"/>
      <x:c r="G57" s="4"/>
    </x:row>
    <x:row r="58" ht="22" customHeight="1">
      <x:c r="A58" s="4"/>
      <x:c r="B58" s="4"/>
      <x:c r="C58" s="4"/>
      <x:c r="D58" s="4"/>
      <x:c r="E58" s="4"/>
      <x:c r="F58" s="4"/>
      <x:c r="G58" s="4"/>
    </x:row>
    <x:row r="59" ht="22" customHeight="1">
      <x:c r="A59" s="4"/>
      <x:c r="B59" s="4"/>
      <x:c r="C59" s="4"/>
      <x:c r="D59" s="4"/>
      <x:c r="E59" s="4"/>
      <x:c r="F59" s="4"/>
      <x:c r="G59" s="4"/>
    </x:row>
    <x:row r="60" ht="22" customHeight="1">
      <x:c r="A60" s="4"/>
      <x:c r="B60" s="4"/>
      <x:c r="C60" s="4"/>
      <x:c r="D60" s="4"/>
      <x:c r="E60" s="4"/>
      <x:c r="F60" s="4"/>
      <x:c r="G60" s="4"/>
    </x:row>
    <x:row r="61" ht="22" customHeight="1">
      <x:c r="A61" s="4"/>
      <x:c r="B61" s="4"/>
      <x:c r="C61" s="4"/>
      <x:c r="D61" s="4"/>
      <x:c r="E61" s="4"/>
      <x:c r="F61" s="4"/>
      <x:c r="G61" s="4"/>
    </x:row>
    <x:row r="62" ht="22" customHeight="1">
      <x:c r="A62" s="4"/>
      <x:c r="B62" s="4"/>
      <x:c r="C62" s="4"/>
      <x:c r="D62" s="4"/>
      <x:c r="E62" s="4"/>
      <x:c r="F62" s="4"/>
      <x:c r="G62" s="4"/>
    </x:row>
    <x:row r="63" ht="22" customHeight="1">
      <x:c r="A63" s="4"/>
      <x:c r="B63" s="4"/>
      <x:c r="C63" s="4"/>
      <x:c r="D63" s="4"/>
      <x:c r="E63" s="4"/>
      <x:c r="F63" s="4"/>
      <x:c r="G63" s="4"/>
    </x:row>
    <x:row r="64" ht="22" customHeight="1">
      <x:c r="A64" s="4"/>
      <x:c r="B64" s="4"/>
      <x:c r="C64" s="4"/>
      <x:c r="D64" s="4"/>
      <x:c r="E64" s="4"/>
      <x:c r="F64" s="4"/>
      <x:c r="G64" s="4"/>
    </x:row>
    <x:row r="65" ht="22" customHeight="1">
      <x:c r="A65" s="4"/>
      <x:c r="B65" s="4"/>
      <x:c r="C65" s="4"/>
      <x:c r="D65" s="4"/>
      <x:c r="E65" s="4"/>
      <x:c r="F65" s="4"/>
      <x:c r="G65" s="4"/>
    </x:row>
  </x:sheetData>
  <x:mergeCells>
    <x:mergeCell ref="A1:E2"/>
    <x:mergeCell ref="A32:E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3" hidden="0" customWidth="1"/>
    <x:col min="3" max="3" width="23" hidden="0" customWidth="1"/>
    <x:col min="4" max="4" width="38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4" customHeight="1">
      <x:c r="A1" s="7" t="str">
        <x:v>NUTRISYNC | ACQUISITION &amp; RETENTION STRESS TEST</x:v>
      </x:c>
      <x:c r="B1" s="7"/>
      <x:c r="C1" s="7"/>
      <x:c r="D1" s="7"/>
      <x:c r="E1" s="4"/>
      <x:c r="F1" s="4"/>
      <x:c r="G1" s="4"/>
    </x:row>
    <x:row r="2" ht="24" customHeight="1">
      <x:c r="A2" s="7"/>
      <x:c r="B2" s="7"/>
      <x:c r="C2" s="7"/>
      <x:c r="D2" s="7"/>
      <x:c r="E2" s="4"/>
      <x:c r="F2" s="4"/>
      <x:c r="G2" s="4"/>
    </x:row>
    <x:row r="3" ht="22" customHeight="1">
      <x:c r="A3" s="4"/>
      <x:c r="B3" s="4"/>
      <x:c r="C3" s="4"/>
      <x:c r="D3" s="4"/>
      <x:c r="E3" s="4"/>
      <x:c r="F3" s="4"/>
      <x:c r="G3" s="4"/>
    </x:row>
    <x:row r="4" ht="22" customHeight="1">
      <x:c r="A4" s="4"/>
      <x:c r="B4" s="4"/>
      <x:c r="C4" s="4"/>
      <x:c r="D4" s="4"/>
      <x:c r="E4" s="4"/>
      <x:c r="F4" s="4"/>
      <x:c r="G4" s="4"/>
    </x:row>
    <x:row r="5" ht="32" customHeight="1">
      <x:c r="A5" s="11" t="str">
        <x:v>Output</x:v>
      </x:c>
      <x:c r="B5" s="11" t="str">
        <x:v>2M illustration</x:v>
      </x:c>
      <x:c r="C5" s="11" t="str">
        <x:v>5M illustration</x:v>
      </x:c>
      <x:c r="D5" s="11" t="str">
        <x:v>Interpretation</x:v>
      </x:c>
      <x:c r="E5" s="4"/>
      <x:c r="F5" s="4"/>
      <x:c r="G5" s="4"/>
    </x:row>
    <x:row r="6" ht="36" customHeight="1">
      <x:c r="A6" s="4" t="str">
        <x:v>Paid registrations</x:v>
      </x:c>
      <x:c r="B6" s="28" t="n">
        <x:f>'GTM inputs'!B6/'GTM inputs'!B7</x:f>
        <x:v>36000</x:v>
      </x:c>
      <x:c r="C6" s="28" t="n">
        <x:f>'GTM inputs'!C6/'GTM inputs'!C7</x:f>
        <x:v>130000</x:v>
      </x:c>
      <x:c r="D6" s="4" t="str">
        <x:v>Media spend / cost per registration</x:v>
      </x:c>
      <x:c r="E6" s="4"/>
      <x:c r="F6" s="4"/>
      <x:c r="G6" s="4"/>
    </x:row>
    <x:row r="7" ht="36" customHeight="1">
      <x:c r="A7" s="4" t="str">
        <x:v>New paid-media B2C payers</x:v>
      </x:c>
      <x:c r="B7" s="28" t="n">
        <x:f>B6*'GTM inputs'!B8*'GTM inputs'!B9</x:f>
        <x:v>2376</x:v>
      </x:c>
      <x:c r="C7" s="28" t="n">
        <x:f>C6*'GTM inputs'!C8*'GTM inputs'!C9</x:f>
        <x:v>8580</x:v>
      </x:c>
      <x:c r="D7" s="4" t="str">
        <x:v>Activated registrants who pay</x:v>
      </x:c>
      <x:c r="E7" s="4"/>
      <x:c r="F7" s="4"/>
      <x:c r="G7" s="4"/>
    </x:row>
    <x:row r="8" ht="36" customHeight="1">
      <x:c r="A8" s="4" t="str">
        <x:v>New owned / creator / event payers</x:v>
      </x:c>
      <x:c r="B8" s="28" t="n">
        <x:f>'GTM inputs'!B10*'GTM inputs'!B11*'GTM inputs'!B12</x:f>
        <x:v>1728</x:v>
      </x:c>
      <x:c r="C8" s="28" t="n">
        <x:f>'GTM inputs'!C10*'GTM inputs'!C11*'GTM inputs'!C12</x:f>
        <x:v>5400</x:v>
      </x:c>
      <x:c r="D8" s="4" t="str">
        <x:v>Deduplicated new B2C additions</x:v>
      </x:c>
      <x:c r="E8" s="4"/>
      <x:c r="F8" s="4"/>
      <x:c r="G8" s="4"/>
    </x:row>
    <x:row r="9" ht="36" customHeight="1">
      <x:c r="A9" s="4" t="str">
        <x:v>Professional-route registrations</x:v>
      </x:c>
      <x:c r="B9" s="28" t="n">
        <x:f>'GTM inputs'!B13*'GTM inputs'!B14*'GTM inputs'!B15*'GTM inputs'!B16</x:f>
        <x:v>4320</x:v>
      </x:c>
      <x:c r="C9" s="28" t="n">
        <x:f>'GTM inputs'!C13*'GTM inputs'!C14*'GTM inputs'!C15*'GTM inputs'!C16</x:f>
        <x:v>12960</x:v>
      </x:c>
      <x:c r="D9" s="4" t="str">
        <x:v>Locations × invitations × months × conversion</x:v>
      </x:c>
      <x:c r="E9" s="4"/>
      <x:c r="F9" s="4"/>
      <x:c r="G9" s="4"/>
    </x:row>
    <x:row r="10" ht="36" customHeight="1">
      <x:c r="A10" s="4" t="str">
        <x:v>New professional-route payers</x:v>
      </x:c>
      <x:c r="B10" s="28" t="n">
        <x:f>B9*'GTM inputs'!B17*'GTM inputs'!B18</x:f>
        <x:v>648</x:v>
      </x:c>
      <x:c r="C10" s="28" t="n">
        <x:f>C9*'GTM inputs'!C17*'GTM inputs'!C18</x:f>
        <x:v>1944</x:v>
      </x:c>
      <x:c r="D10" s="4" t="str">
        <x:v>Registered × activated × paid</x:v>
      </x:c>
      <x:c r="E10" s="4"/>
      <x:c r="F10" s="4"/>
      <x:c r="G10" s="4"/>
    </x:row>
    <x:row r="11" ht="36" customHeight="1">
      <x:c r="A11" s="20" t="str">
        <x:v>GROSS NEW B2C PAYERS</x:v>
      </x:c>
      <x:c r="B11" s="52" t="n">
        <x:f>SUM(B7:B8)+B10</x:f>
        <x:v>4752</x:v>
      </x:c>
      <x:c r="C11" s="52" t="n">
        <x:f>SUM(C7:C8)+C10</x:f>
        <x:v>15924</x:v>
      </x:c>
      <x:c r="D11" s="20" t="str">
        <x:v>Cumulative additions; not retained endpoint</x:v>
      </x:c>
      <x:c r="E11" s="4"/>
      <x:c r="F11" s="4"/>
      <x:c r="G11" s="4"/>
    </x:row>
    <x:row r="12" ht="36" customHeight="1">
      <x:c r="A12" s="4"/>
      <x:c r="B12" s="28"/>
      <x:c r="C12" s="28"/>
      <x:c r="D12" s="4"/>
      <x:c r="E12" s="4"/>
      <x:c r="F12" s="4"/>
      <x:c r="G12" s="4"/>
    </x:row>
    <x:row r="13" ht="36" customHeight="1">
      <x:c r="A13" s="20" t="str">
        <x:v>B2C paid subscriptions at month 24</x:v>
      </x:c>
      <x:c r="B13" s="30" t="n">
        <x:f>'GTM inputs'!B28*(1-'GTM inputs'!B19)^'GTM inputs'!B30+IF('GTM inputs'!B19=0,B11,(B11/'GTM inputs'!B20)*(1-(1-'GTM inputs'!B19)^'GTM inputs'!B20)/'GTM inputs'!B19)</x:f>
        <x:v>3182.7083985406066</x:v>
      </x:c>
      <x:c r="C13" s="30" t="n">
        <x:f>'GTM inputs'!C28*(1-'GTM inputs'!C19)^'GTM inputs'!C30+IF('GTM inputs'!C19=0,C11,(C11/'GTM inputs'!C20)*(1-(1-'GTM inputs'!C19)^'GTM inputs'!C20)/'GTM inputs'!C19)</x:f>
        <x:v>10665.287992079253</x:v>
      </x:c>
      <x:c r="D13" s="20" t="str">
        <x:v>Uniform additions plus flat churn; not a forecast</x:v>
      </x:c>
      <x:c r="E13" s="4"/>
      <x:c r="F13" s="4"/>
      <x:c r="G13" s="4"/>
    </x:row>
    <x:row r="14" ht="36" customHeight="1">
      <x:c r="A14" s="4" t="str">
        <x:v>Active B2B contracts at endpoint</x:v>
      </x:c>
      <x:c r="B14" s="28" t="n">
        <x:f>'GTM inputs'!B21</x:f>
        <x:v>10</x:v>
      </x:c>
      <x:c r="C14" s="28" t="n">
        <x:f>'GTM inputs'!C21</x:f>
        <x:v>30</x:v>
      </x:c>
      <x:c r="D14" s="4" t="str">
        <x:v>Unsigned hypothesis, not pipeline evidence</x:v>
      </x:c>
      <x:c r="E14" s="4"/>
      <x:c r="F14" s="4"/>
      <x:c r="G14" s="4"/>
    </x:row>
    <x:row r="15" ht="36" customHeight="1">
      <x:c r="A15" s="4" t="str">
        <x:v>Contracted B2B seats</x:v>
      </x:c>
      <x:c r="B15" s="28" t="n">
        <x:f>B14*'GTM inputs'!B22</x:f>
        <x:v>2000</x:v>
      </x:c>
      <x:c r="C15" s="28" t="n">
        <x:f>C14*'GTM inputs'!C22</x:f>
        <x:v>7500</x:v>
      </x:c>
      <x:c r="D15" s="4" t="str">
        <x:v>Contract billing basis</x:v>
      </x:c>
      <x:c r="E15" s="4"/>
      <x:c r="F15" s="4"/>
      <x:c r="G15" s="4"/>
    </x:row>
    <x:row r="16" ht="36" customHeight="1">
      <x:c r="A16" s="4" t="str">
        <x:v>Activated B2B users</x:v>
      </x:c>
      <x:c r="B16" s="28" t="n">
        <x:f>B15*'GTM inputs'!B23</x:f>
        <x:v>1200</x:v>
      </x:c>
      <x:c r="C16" s="28" t="n">
        <x:f>C15*'GTM inputs'!C23</x:f>
        <x:v>4500</x:v>
      </x:c>
      <x:c r="D16" s="4" t="str">
        <x:v>Do not assume every seat is active</x:v>
      </x:c>
      <x:c r="E16" s="4"/>
      <x:c r="F16" s="4"/>
      <x:c r="G16" s="4"/>
    </x:row>
    <x:row r="17" ht="36" customHeight="1">
      <x:c r="A17" s="4"/>
      <x:c r="B17" s="28"/>
      <x:c r="C17" s="28"/>
      <x:c r="D17" s="4"/>
      <x:c r="E17" s="4"/>
      <x:c r="F17" s="4"/>
      <x:c r="G17" s="4"/>
    </x:row>
    <x:row r="18" ht="36" customHeight="1">
      <x:c r="A18" s="4" t="str">
        <x:v>B2C monthly recurring revenue EUR</x:v>
      </x:c>
      <x:c r="B18" s="28" t="n">
        <x:f>B13*'GTM inputs'!B24</x:f>
        <x:v>19096.25039124364</x:v>
      </x:c>
      <x:c r="C18" s="28" t="n">
        <x:f>C13*'GTM inputs'!C24</x:f>
        <x:v>63991.727952475514</x:v>
      </x:c>
      <x:c r="D18" s="4" t="str">
        <x:v>Subscriptions × illustrative monthly revenue</x:v>
      </x:c>
      <x:c r="E18" s="4"/>
      <x:c r="F18" s="4"/>
      <x:c r="G18" s="4"/>
    </x:row>
    <x:row r="19" ht="36" customHeight="1">
      <x:c r="A19" s="4" t="str">
        <x:v>B2B monthly recurring revenue EUR</x:v>
      </x:c>
      <x:c r="B19" s="28" t="n">
        <x:f>B15*'GTM inputs'!B25</x:f>
        <x:v>7000</x:v>
      </x:c>
      <x:c r="C19" s="28" t="n">
        <x:f>C15*'GTM inputs'!C25</x:f>
        <x:v>26250</x:v>
      </x:c>
      <x:c r="D19" s="4" t="str">
        <x:v>Contracted-seat billing basis</x:v>
      </x:c>
      <x:c r="E19" s="4"/>
      <x:c r="F19" s="4"/>
      <x:c r="G19" s="4"/>
    </x:row>
    <x:row r="20" ht="36" customHeight="1">
      <x:c r="A20" s="20" t="str">
        <x:v>TOTAL MONTHLY RUN RATE EUR</x:v>
      </x:c>
      <x:c r="B20" s="52" t="n">
        <x:f>SUM(B18:B19)</x:f>
        <x:v>26096.25039124364</x:v>
      </x:c>
      <x:c r="C20" s="52" t="n">
        <x:f>SUM(C18:C19)</x:f>
        <x:v>90241.72795247551</x:v>
      </x:c>
      <x:c r="D20" s="20" t="str">
        <x:v>Ex tax; excludes grants/events/sponsorship</x:v>
      </x:c>
      <x:c r="E20" s="4"/>
      <x:c r="F20" s="4"/>
      <x:c r="G20" s="4"/>
    </x:row>
    <x:row r="21" ht="36" customHeight="1">
      <x:c r="A21" s="20" t="str">
        <x:v>ANNUALISED RUN RATE EUR</x:v>
      </x:c>
      <x:c r="B21" s="30" t="n">
        <x:f>B20*'GTM inputs'!B29</x:f>
        <x:v>313155.0046949237</x:v>
      </x:c>
      <x:c r="C21" s="30" t="n">
        <x:f>C20*'GTM inputs'!C29</x:f>
        <x:v>1082900.735429706</x:v>
      </x:c>
      <x:c r="D21" s="20" t="str">
        <x:v>Endpoint × 12; NOT annual earned revenue</x:v>
      </x:c>
      <x:c r="E21" s="4"/>
      <x:c r="F21" s="4"/>
      <x:c r="G21" s="4"/>
    </x:row>
    <x:row r="22" ht="36" customHeight="1">
      <x:c r="A22" s="4"/>
      <x:c r="B22" s="28"/>
      <x:c r="C22" s="28"/>
      <x:c r="D22" s="4"/>
      <x:c r="E22" s="4"/>
      <x:c r="F22" s="4"/>
      <x:c r="G22" s="4"/>
    </x:row>
    <x:row r="23" ht="36" customHeight="1">
      <x:c r="A23" s="4" t="str">
        <x:v>Media-only CAC per new payer EUR</x:v>
      </x:c>
      <x:c r="B23" s="34" t="n">
        <x:f>'GTM inputs'!B6/B7</x:f>
        <x:v>75.75757575757575</x:v>
      </x:c>
      <x:c r="C23" s="34" t="n">
        <x:f>'GTM inputs'!C6/C7</x:f>
        <x:v>75.75757575757575</x:v>
      </x:c>
      <x:c r="D23" s="4" t="str">
        <x:v>Excludes acquisition overhead</x:v>
      </x:c>
      <x:c r="E23" s="4"/>
      <x:c r="F23" s="4"/>
      <x:c r="G23" s="4"/>
    </x:row>
    <x:row r="24" ht="36" customHeight="1">
      <x:c r="A24" s="4" t="str">
        <x:v>Monthly contribution / payer EUR</x:v>
      </x:c>
      <x:c r="B24" s="34" t="n">
        <x:f>'GTM inputs'!B24*'GTM inputs'!B26</x:f>
        <x:v>4.5</x:v>
      </x:c>
      <x:c r="C24" s="34" t="n">
        <x:f>'GTM inputs'!C24*'GTM inputs'!C26</x:f>
        <x:v>4.5</x:v>
      </x:c>
      <x:c r="D24" s="4" t="str">
        <x:v>Net revenue × contribution margin</x:v>
      </x:c>
      <x:c r="E24" s="4"/>
      <x:c r="F24" s="4"/>
      <x:c r="G24" s="4"/>
    </x:row>
    <x:row r="25" ht="36" customHeight="1">
      <x:c r="A25" s="4" t="str">
        <x:v>Simple lifetime contribution EUR</x:v>
      </x:c>
      <x:c r="B25" s="34" t="n">
        <x:f>IF('GTM inputs'!B19&gt;0,B24/'GTM inputs'!B19,"Not finite")</x:f>
        <x:v>90</x:v>
      </x:c>
      <x:c r="C25" s="34" t="n">
        <x:f>IF('GTM inputs'!C19&gt;0,C24/'GTM inputs'!C19,"Not finite")</x:f>
        <x:v>90</x:v>
      </x:c>
      <x:c r="D25" s="4" t="str">
        <x:v>Contribution / monthly churn; simplification</x:v>
      </x:c>
      <x:c r="E25" s="4"/>
      <x:c r="F25" s="4"/>
      <x:c r="G25" s="4"/>
    </x:row>
    <x:row r="26" ht="36" customHeight="1">
      <x:c r="A26" s="4" t="str">
        <x:v>Simple lifetime contribution / media CAC</x:v>
      </x:c>
      <x:c r="B26" s="54" t="n">
        <x:f>B25/B23</x:f>
        <x:v>1.1880000000000002</x:v>
      </x:c>
      <x:c r="C26" s="54" t="n">
        <x:f>C25/C23</x:f>
        <x:v>1.1880000000000002</x:v>
      </x:c>
      <x:c r="D26" s="4" t="str">
        <x:v>Not fully loaded; insufficient in this case</x:v>
      </x:c>
      <x:c r="E26" s="4"/>
      <x:c r="F26" s="4"/>
      <x:c r="G26" s="4"/>
    </x:row>
    <x:row r="27" ht="36" customHeight="1">
      <x:c r="A27" s="20" t="str">
        <x:v>Maximum CAC at chosen multiple EUR</x:v>
      </x:c>
      <x:c r="B27" s="46" t="n">
        <x:f>B25/'GTM inputs'!B27</x:f>
        <x:v>30</x:v>
      </x:c>
      <x:c r="C27" s="46" t="n">
        <x:f>C25/'GTM inputs'!C27</x:f>
        <x:v>30</x:v>
      </x:c>
      <x:c r="D27" s="20" t="str">
        <x:v>Must also cover acquisition overhead</x:v>
      </x:c>
      <x:c r="E27" s="4"/>
      <x:c r="F27" s="4"/>
      <x:c r="G27" s="4"/>
    </x:row>
    <x:row r="28" ht="53" customHeight="1">
      <x:c r="A28" s="20" t="str">
        <x:v>COMMERCIAL DECISION</x:v>
      </x:c>
      <x:c r="B28" s="56" t="str">
        <x:f>IF(B23&lt;=B27,"Test fully loaded costs","Do not scale media on this case")</x:f>
        <x:v>Do not scale media on this case</x:v>
      </x:c>
      <x:c r="C28" s="56" t="str">
        <x:f>IF(C23&lt;=C27,"Test fully loaded costs","Do not scale media on this case")</x:f>
        <x:v>Do not scale media on this case</x:v>
      </x:c>
      <x:c r="D28" s="20" t="str">
        <x:v>Gating control</x:v>
      </x:c>
      <x:c r="E28" s="4"/>
      <x:c r="F28" s="4"/>
      <x:c r="G28" s="4"/>
    </x:row>
    <x:row r="29" ht="22" customHeight="1">
      <x:c r="A29" s="4"/>
      <x:c r="B29" s="4"/>
      <x:c r="C29" s="4"/>
      <x:c r="D29" s="4"/>
      <x:c r="E29" s="4"/>
      <x:c r="F29" s="4"/>
      <x:c r="G29" s="4"/>
    </x:row>
    <x:row r="30" ht="22" customHeight="1">
      <x:c r="A30" s="4"/>
      <x:c r="B30" s="4"/>
      <x:c r="C30" s="4"/>
      <x:c r="D30" s="4"/>
      <x:c r="E30" s="4"/>
      <x:c r="F30" s="4"/>
      <x:c r="G30" s="4"/>
    </x:row>
    <x:row r="31" ht="22" customHeight="1">
      <x:c r="A31" s="20" t="str">
        <x:v>This case does NOT demonstrate break-even or justify exhausting the media budget. A larger cheque does not repair weak unit economics. Improve retention, conversion and contribution; prove fully loaded CAC; reduce spending when evidence fails. No new financing is hidden in the case.</x:v>
      </x:c>
      <x:c r="B31" s="20"/>
      <x:c r="C31" s="20"/>
      <x:c r="D31" s="20"/>
      <x:c r="E31" s="4"/>
      <x:c r="F31" s="4"/>
      <x:c r="G31" s="4"/>
    </x:row>
    <x:row r="32" ht="22" customHeight="1">
      <x:c r="A32" s="20"/>
      <x:c r="B32" s="20"/>
      <x:c r="C32" s="20"/>
      <x:c r="D32" s="20"/>
      <x:c r="E32" s="4"/>
      <x:c r="F32" s="4"/>
      <x:c r="G32" s="4"/>
    </x:row>
    <x:row r="33" ht="22" customHeight="1">
      <x:c r="A33" s="20"/>
      <x:c r="B33" s="20"/>
      <x:c r="C33" s="20"/>
      <x:c r="D33" s="20"/>
      <x:c r="E33" s="4"/>
      <x:c r="F33" s="4"/>
      <x:c r="G33" s="4"/>
    </x:row>
    <x:row r="34" ht="22" customHeight="1">
      <x:c r="A34" s="4"/>
      <x:c r="B34" s="4"/>
      <x:c r="C34" s="4"/>
      <x:c r="D34" s="4"/>
      <x:c r="E34" s="4"/>
      <x:c r="F34" s="4"/>
      <x:c r="G34" s="4"/>
    </x:row>
    <x:row r="35" ht="22" customHeight="1">
      <x:c r="A35" s="4"/>
      <x:c r="B35" s="4"/>
      <x:c r="C35" s="4"/>
      <x:c r="D35" s="4"/>
      <x:c r="E35" s="4"/>
      <x:c r="F35" s="4"/>
      <x:c r="G35" s="4"/>
    </x:row>
    <x:row r="36" ht="22" customHeight="1">
      <x:c r="A36" s="4"/>
      <x:c r="B36" s="4"/>
      <x:c r="C36" s="4"/>
      <x:c r="D36" s="4"/>
      <x:c r="E36" s="4"/>
      <x:c r="F36" s="4"/>
      <x:c r="G36" s="4"/>
    </x:row>
    <x:row r="37" ht="22" customHeight="1">
      <x:c r="A37" s="4"/>
      <x:c r="B37" s="4"/>
      <x:c r="C37" s="4"/>
      <x:c r="D37" s="4"/>
      <x:c r="E37" s="4"/>
      <x:c r="F37" s="4"/>
      <x:c r="G37" s="4"/>
    </x:row>
    <x:row r="38" ht="22" customHeight="1">
      <x:c r="A38" s="4"/>
      <x:c r="B38" s="4"/>
      <x:c r="C38" s="4"/>
      <x:c r="D38" s="4"/>
      <x:c r="E38" s="4"/>
      <x:c r="F38" s="4"/>
      <x:c r="G38" s="4"/>
    </x:row>
    <x:row r="39" ht="22" customHeight="1">
      <x:c r="A39" s="4"/>
      <x:c r="B39" s="4"/>
      <x:c r="C39" s="4"/>
      <x:c r="D39" s="4"/>
      <x:c r="E39" s="4"/>
      <x:c r="F39" s="4"/>
      <x:c r="G39" s="4"/>
    </x:row>
    <x:row r="40" ht="22" customHeight="1">
      <x:c r="A40" s="4"/>
      <x:c r="B40" s="4"/>
      <x:c r="C40" s="4"/>
      <x:c r="D40" s="4"/>
      <x:c r="E40" s="4"/>
      <x:c r="F40" s="4"/>
      <x:c r="G40" s="4"/>
    </x:row>
    <x:row r="41" ht="22" customHeight="1">
      <x:c r="A41" s="4"/>
      <x:c r="B41" s="4"/>
      <x:c r="C41" s="4"/>
      <x:c r="D41" s="4"/>
      <x:c r="E41" s="4"/>
      <x:c r="F41" s="4"/>
      <x:c r="G41" s="4"/>
    </x:row>
    <x:row r="42" ht="22" customHeight="1">
      <x:c r="A42" s="4"/>
      <x:c r="B42" s="4"/>
      <x:c r="C42" s="4"/>
      <x:c r="D42" s="4"/>
      <x:c r="E42" s="4"/>
      <x:c r="F42" s="4"/>
      <x:c r="G42" s="4"/>
    </x:row>
    <x:row r="43" ht="22" customHeight="1">
      <x:c r="A43" s="4"/>
      <x:c r="B43" s="4"/>
      <x:c r="C43" s="4"/>
      <x:c r="D43" s="4"/>
      <x:c r="E43" s="4"/>
      <x:c r="F43" s="4"/>
      <x:c r="G43" s="4"/>
    </x:row>
    <x:row r="44" ht="22" customHeight="1">
      <x:c r="A44" s="4"/>
      <x:c r="B44" s="4"/>
      <x:c r="C44" s="4"/>
      <x:c r="D44" s="4"/>
      <x:c r="E44" s="4"/>
      <x:c r="F44" s="4"/>
      <x:c r="G44" s="4"/>
    </x:row>
    <x:row r="45" ht="22" customHeight="1">
      <x:c r="A45" s="4"/>
      <x:c r="B45" s="4"/>
      <x:c r="C45" s="4"/>
      <x:c r="D45" s="4"/>
      <x:c r="E45" s="4"/>
      <x:c r="F45" s="4"/>
      <x:c r="G45" s="4"/>
    </x:row>
    <x:row r="46" ht="22" customHeight="1">
      <x:c r="A46" s="4"/>
      <x:c r="B46" s="4"/>
      <x:c r="C46" s="4"/>
      <x:c r="D46" s="4"/>
      <x:c r="E46" s="4"/>
      <x:c r="F46" s="4"/>
      <x:c r="G46" s="4"/>
    </x:row>
    <x:row r="47" ht="22" customHeight="1">
      <x:c r="A47" s="4"/>
      <x:c r="B47" s="4"/>
      <x:c r="C47" s="4"/>
      <x:c r="D47" s="4"/>
      <x:c r="E47" s="4"/>
      <x:c r="F47" s="4"/>
      <x:c r="G47" s="4"/>
    </x:row>
    <x:row r="48" ht="22" customHeight="1">
      <x:c r="A48" s="4"/>
      <x:c r="B48" s="4"/>
      <x:c r="C48" s="4"/>
      <x:c r="D48" s="4"/>
      <x:c r="E48" s="4"/>
      <x:c r="F48" s="4"/>
      <x:c r="G48" s="4"/>
    </x:row>
    <x:row r="49" ht="22" customHeight="1">
      <x:c r="A49" s="4"/>
      <x:c r="B49" s="4"/>
      <x:c r="C49" s="4"/>
      <x:c r="D49" s="4"/>
      <x:c r="E49" s="4"/>
      <x:c r="F49" s="4"/>
      <x:c r="G49" s="4"/>
    </x:row>
    <x:row r="50" ht="22" customHeight="1">
      <x:c r="A50" s="4"/>
      <x:c r="B50" s="4"/>
      <x:c r="C50" s="4"/>
      <x:c r="D50" s="4"/>
      <x:c r="E50" s="4"/>
      <x:c r="F50" s="4"/>
      <x:c r="G50" s="4"/>
    </x:row>
    <x:row r="51" ht="22" customHeight="1">
      <x:c r="A51" s="4"/>
      <x:c r="B51" s="4"/>
      <x:c r="C51" s="4"/>
      <x:c r="D51" s="4"/>
      <x:c r="E51" s="4"/>
      <x:c r="F51" s="4"/>
      <x:c r="G51" s="4"/>
    </x:row>
    <x:row r="52" ht="22" customHeight="1">
      <x:c r="A52" s="4"/>
      <x:c r="B52" s="4"/>
      <x:c r="C52" s="4"/>
      <x:c r="D52" s="4"/>
      <x:c r="E52" s="4"/>
      <x:c r="F52" s="4"/>
      <x:c r="G52" s="4"/>
    </x:row>
    <x:row r="53" ht="22" customHeight="1">
      <x:c r="A53" s="4"/>
      <x:c r="B53" s="4"/>
      <x:c r="C53" s="4"/>
      <x:c r="D53" s="4"/>
      <x:c r="E53" s="4"/>
      <x:c r="F53" s="4"/>
      <x:c r="G53" s="4"/>
    </x:row>
    <x:row r="54" ht="22" customHeight="1">
      <x:c r="A54" s="4"/>
      <x:c r="B54" s="4"/>
      <x:c r="C54" s="4"/>
      <x:c r="D54" s="4"/>
      <x:c r="E54" s="4"/>
      <x:c r="F54" s="4"/>
      <x:c r="G54" s="4"/>
    </x:row>
    <x:row r="55" ht="22" customHeight="1">
      <x:c r="A55" s="4"/>
      <x:c r="B55" s="4"/>
      <x:c r="C55" s="4"/>
      <x:c r="D55" s="4"/>
      <x:c r="E55" s="4"/>
      <x:c r="F55" s="4"/>
      <x:c r="G55" s="4"/>
    </x:row>
    <x:row r="56" ht="22" customHeight="1">
      <x:c r="A56" s="4"/>
      <x:c r="B56" s="4"/>
      <x:c r="C56" s="4"/>
      <x:c r="D56" s="4"/>
      <x:c r="E56" s="4"/>
      <x:c r="F56" s="4"/>
      <x:c r="G56" s="4"/>
    </x:row>
    <x:row r="57" ht="22" customHeight="1">
      <x:c r="A57" s="4"/>
      <x:c r="B57" s="4"/>
      <x:c r="C57" s="4"/>
      <x:c r="D57" s="4"/>
      <x:c r="E57" s="4"/>
      <x:c r="F57" s="4"/>
      <x:c r="G57" s="4"/>
    </x:row>
    <x:row r="58" ht="22" customHeight="1">
      <x:c r="A58" s="4"/>
      <x:c r="B58" s="4"/>
      <x:c r="C58" s="4"/>
      <x:c r="D58" s="4"/>
      <x:c r="E58" s="4"/>
      <x:c r="F58" s="4"/>
      <x:c r="G58" s="4"/>
    </x:row>
    <x:row r="59" ht="22" customHeight="1">
      <x:c r="A59" s="4"/>
      <x:c r="B59" s="4"/>
      <x:c r="C59" s="4"/>
      <x:c r="D59" s="4"/>
      <x:c r="E59" s="4"/>
      <x:c r="F59" s="4"/>
      <x:c r="G59" s="4"/>
    </x:row>
    <x:row r="60" ht="22" customHeight="1">
      <x:c r="A60" s="4"/>
      <x:c r="B60" s="4"/>
      <x:c r="C60" s="4"/>
      <x:c r="D60" s="4"/>
      <x:c r="E60" s="4"/>
      <x:c r="F60" s="4"/>
      <x:c r="G60" s="4"/>
    </x:row>
    <x:row r="61" ht="22" customHeight="1">
      <x:c r="A61" s="4"/>
      <x:c r="B61" s="4"/>
      <x:c r="C61" s="4"/>
      <x:c r="D61" s="4"/>
      <x:c r="E61" s="4"/>
      <x:c r="F61" s="4"/>
      <x:c r="G61" s="4"/>
    </x:row>
    <x:row r="62" ht="22" customHeight="1">
      <x:c r="A62" s="4"/>
      <x:c r="B62" s="4"/>
      <x:c r="C62" s="4"/>
      <x:c r="D62" s="4"/>
      <x:c r="E62" s="4"/>
      <x:c r="F62" s="4"/>
      <x:c r="G62" s="4"/>
    </x:row>
    <x:row r="63" ht="22" customHeight="1">
      <x:c r="A63" s="4"/>
      <x:c r="B63" s="4"/>
      <x:c r="C63" s="4"/>
      <x:c r="D63" s="4"/>
      <x:c r="E63" s="4"/>
      <x:c r="F63" s="4"/>
      <x:c r="G63" s="4"/>
    </x:row>
    <x:row r="64" ht="22" customHeight="1">
      <x:c r="A64" s="4"/>
      <x:c r="B64" s="4"/>
      <x:c r="C64" s="4"/>
      <x:c r="D64" s="4"/>
      <x:c r="E64" s="4"/>
      <x:c r="F64" s="4"/>
      <x:c r="G64" s="4"/>
    </x:row>
    <x:row r="65" ht="22" customHeight="1">
      <x:c r="A65" s="4"/>
      <x:c r="B65" s="4"/>
      <x:c r="C65" s="4"/>
      <x:c r="D65" s="4"/>
      <x:c r="E65" s="4"/>
      <x:c r="F65" s="4"/>
      <x:c r="G65" s="4"/>
    </x:row>
  </x:sheetData>
  <x:mergeCells>
    <x:mergeCell ref="A1:D2"/>
    <x:mergeCell ref="A31:D3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7" hidden="0" customWidth="1"/>
    <x:col min="3" max="3" width="3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4" customHeight="1">
      <x:c r="A1" s="7" t="str">
        <x:v>NUTRISYNC | INVESTOR RETURN MECHANICS</x:v>
      </x:c>
      <x:c r="B1" s="7"/>
      <x:c r="C1" s="7"/>
      <x:c r="D1" s="7"/>
      <x:c r="E1" s="7"/>
      <x:c r="F1" s="7"/>
      <x:c r="G1" s="4"/>
    </x:row>
    <x:row r="2" ht="24" customHeight="1">
      <x:c r="A2" s="7"/>
      <x:c r="B2" s="7"/>
      <x:c r="C2" s="7"/>
      <x:c r="D2" s="7"/>
      <x:c r="E2" s="7"/>
      <x:c r="F2" s="7"/>
      <x:c r="G2" s="4"/>
    </x:row>
    <x:row r="3" ht="22" customHeight="1">
      <x:c r="A3" s="4"/>
      <x:c r="B3" s="4"/>
      <x:c r="C3" s="4"/>
      <x:c r="D3" s="4"/>
      <x:c r="E3" s="4"/>
      <x:c r="F3" s="4"/>
      <x:c r="G3" s="4"/>
    </x:row>
    <x:row r="4" ht="22" customHeight="1">
      <x:c r="A4" s="4"/>
      <x:c r="B4" s="4"/>
      <x:c r="C4" s="4"/>
      <x:c r="D4" s="4"/>
      <x:c r="E4" s="4"/>
      <x:c r="F4" s="4"/>
      <x:c r="G4" s="4"/>
    </x:row>
    <x:row r="5" ht="32" customHeight="1">
      <x:c r="A5" s="11" t="str">
        <x:v>Input / output</x:v>
      </x:c>
      <x:c r="B5" s="11" t="str">
        <x:v>Value</x:v>
      </x:c>
      <x:c r="C5" s="11" t="str">
        <x:v>Status</x:v>
      </x:c>
      <x:c r="D5" s="4"/>
      <x:c r="E5" s="4"/>
      <x:c r="F5" s="4"/>
      <x:c r="G5" s="4"/>
    </x:row>
    <x:row r="6" ht="35" customHeight="1">
      <x:c r="A6" s="4" t="str">
        <x:v>Illustrative investment EUR</x:v>
      </x:c>
      <x:c r="B6" s="16" t="n">
        <x:v>2000000</x:v>
      </x:c>
      <x:c r="C6" s="4" t="str">
        <x:v>New hypothesis, not offered terms</x:v>
      </x:c>
      <x:c r="D6" s="4"/>
      <x:c r="E6" s="4"/>
      <x:c r="F6" s="4"/>
      <x:c r="G6" s="4"/>
    </x:row>
    <x:row r="7" ht="35" customHeight="1">
      <x:c r="A7" s="4" t="str">
        <x:v>Illustrative post-money value EUR</x:v>
      </x:c>
      <x:c r="B7" s="16" t="n">
        <x:v>10000000</x:v>
      </x:c>
      <x:c r="C7" s="4" t="str">
        <x:v>Not an assessed company valuation</x:v>
      </x:c>
      <x:c r="D7" s="4"/>
      <x:c r="E7" s="4"/>
      <x:c r="F7" s="4"/>
      <x:c r="G7" s="4"/>
    </x:row>
    <x:row r="8" ht="35" customHeight="1">
      <x:c r="A8" s="4" t="str">
        <x:v>Relative dilution after entry</x:v>
      </x:c>
      <x:c r="B8" s="38" t="n">
        <x:v>0.25</x:v>
      </x:c>
      <x:c r="C8" s="4" t="str">
        <x:v>Later dilution assumption</x:v>
      </x:c>
      <x:c r="D8" s="4"/>
      <x:c r="E8" s="4"/>
      <x:c r="F8" s="4"/>
      <x:c r="G8" s="4"/>
    </x:row>
    <x:row r="9" ht="35" customHeight="1">
      <x:c r="A9" s="4" t="str">
        <x:v>Years to illustrative exit</x:v>
      </x:c>
      <x:c r="B9" s="14" t="n">
        <x:v>5</x:v>
      </x:c>
      <x:c r="C9" s="4" t="str">
        <x:v>Timing assumption</x:v>
      </x:c>
      <x:c r="D9" s="4"/>
      <x:c r="E9" s="4"/>
      <x:c r="F9" s="4"/>
      <x:c r="G9" s="4"/>
    </x:row>
    <x:row r="10" ht="35" customHeight="1">
      <x:c r="A10" s="4" t="str">
        <x:v>Initial investor ownership</x:v>
      </x:c>
      <x:c r="B10" s="50" t="n">
        <x:f>B6/B7</x:f>
        <x:v>0.2</x:v>
      </x:c>
      <x:c r="C10" s="4" t="str">
        <x:v>Investment / post-money</x:v>
      </x:c>
      <x:c r="D10" s="4"/>
      <x:c r="E10" s="4"/>
      <x:c r="F10" s="4"/>
      <x:c r="G10" s="4"/>
    </x:row>
    <x:row r="11" ht="35" customHeight="1">
      <x:c r="A11" s="4" t="str">
        <x:v>Ownership after later dilution</x:v>
      </x:c>
      <x:c r="B11" s="50" t="n">
        <x:f>B10*(1-B8)</x:f>
        <x:v>0.15000000000000002</x:v>
      </x:c>
      <x:c r="C11" s="4" t="str">
        <x:v>Initial share × retained fraction</x:v>
      </x:c>
      <x:c r="D11" s="4"/>
      <x:c r="E11" s="4"/>
      <x:c r="F11" s="4"/>
      <x:c r="G11" s="4"/>
    </x:row>
    <x:row r="12" ht="22" customHeight="1">
      <x:c r="A12" s="4"/>
      <x:c r="B12" s="4"/>
      <x:c r="C12" s="4"/>
      <x:c r="D12" s="4"/>
      <x:c r="E12" s="4"/>
      <x:c r="F12" s="4"/>
      <x:c r="G12" s="4"/>
    </x:row>
    <x:row r="13" ht="22" customHeight="1">
      <x:c r="A13" s="4"/>
      <x:c r="B13" s="4"/>
      <x:c r="C13" s="4"/>
      <x:c r="D13" s="4"/>
      <x:c r="E13" s="4"/>
      <x:c r="F13" s="4"/>
      <x:c r="G13" s="4"/>
    </x:row>
    <x:row r="14" ht="22" customHeight="1">
      <x:c r="A14" s="4"/>
      <x:c r="B14" s="4"/>
      <x:c r="C14" s="4"/>
      <x:c r="D14" s="4"/>
      <x:c r="E14" s="4"/>
      <x:c r="F14" s="4"/>
      <x:c r="G14" s="4"/>
    </x:row>
    <x:row r="15" ht="45" customHeight="1">
      <x:c r="A15" s="11" t="str">
        <x:v>Distributable exit equity EUR</x:v>
      </x:c>
      <x:c r="B15" s="11" t="str">
        <x:v>Investor proceeds EUR</x:v>
      </x:c>
      <x:c r="C15" s="11" t="str">
        <x:v>Gross multiple</x:v>
      </x:c>
      <x:c r="D15" s="11" t="str">
        <x:v>Annualised return</x:v>
      </x:c>
      <x:c r="E15" s="11" t="str">
        <x:v>Total return</x:v>
      </x:c>
      <x:c r="F15" s="11" t="str">
        <x:v>Method</x:v>
      </x:c>
      <x:c r="G15" s="4"/>
    </x:row>
    <x:row r="16" ht="45" customHeight="1">
      <x:c r="A16" s="16" t="n">
        <x:v>0</x:v>
      </x:c>
      <x:c r="B16" s="17" t="n">
        <x:f>A16*$B$11</x:f>
        <x:v>0</x:v>
      </x:c>
      <x:c r="C16" s="42" t="n">
        <x:f>B16/$B$6</x:f>
        <x:v>0</x:v>
      </x:c>
      <x:c r="D16" s="50" t="n">
        <x:f>C16^(1/$B$9)-1</x:f>
        <x:v>-1</x:v>
      </x:c>
      <x:c r="E16" s="50" t="n">
        <x:f>C16-1</x:f>
        <x:v>-1</x:v>
      </x:c>
      <x:c r="F16" s="4" t="str">
        <x:v>No recovery; pro rata</x:v>
      </x:c>
      <x:c r="G16" s="4"/>
    </x:row>
    <x:row r="17" ht="45" customHeight="1">
      <x:c r="A17" s="16" t="n">
        <x:v>5000000</x:v>
      </x:c>
      <x:c r="B17" s="17" t="n">
        <x:f>A17*$B$11</x:f>
        <x:v>750000.0000000001</x:v>
      </x:c>
      <x:c r="C17" s="42" t="n">
        <x:f>B17/$B$6</x:f>
        <x:v>0.37500000000000006</x:v>
      </x:c>
      <x:c r="D17" s="50" t="n">
        <x:f>C17^(1/$B$9)-1</x:f>
        <x:v>-0.17812408524138712</x:v>
      </x:c>
      <x:c r="E17" s="50" t="n">
        <x:f>C17-1</x:f>
        <x:v>-0.625</x:v>
      </x:c>
      <x:c r="F17" s="4" t="str">
        <x:v>Illustrative pro-rata outcome</x:v>
      </x:c>
      <x:c r="G17" s="4"/>
    </x:row>
    <x:row r="18" ht="45" customHeight="1">
      <x:c r="A18" s="16" t="n">
        <x:v>20000000</x:v>
      </x:c>
      <x:c r="B18" s="17" t="n">
        <x:f>A18*$B$11</x:f>
        <x:v>3000000.0000000005</x:v>
      </x:c>
      <x:c r="C18" s="42" t="n">
        <x:f>B18/$B$6</x:f>
        <x:v>1.5000000000000002</x:v>
      </x:c>
      <x:c r="D18" s="50" t="n">
        <x:f>C18^(1/$B$9)-1</x:f>
        <x:v>0.08447177119769855</x:v>
      </x:c>
      <x:c r="E18" s="50" t="n">
        <x:f>C18-1</x:f>
        <x:v>0.5000000000000002</x:v>
      </x:c>
      <x:c r="F18" s="4" t="str">
        <x:v>Illustrative pro-rata outcome</x:v>
      </x:c>
      <x:c r="G18" s="4"/>
    </x:row>
    <x:row r="19" ht="45" customHeight="1">
      <x:c r="A19" s="16" t="n">
        <x:v>50000000</x:v>
      </x:c>
      <x:c r="B19" s="17" t="n">
        <x:f>A19*$B$11</x:f>
        <x:v>7500000.000000001</x:v>
      </x:c>
      <x:c r="C19" s="42" t="n">
        <x:f>B19/$B$6</x:f>
        <x:v>3.7500000000000004</x:v>
      </x:c>
      <x:c r="D19" s="50" t="n">
        <x:f>C19^(1/$B$9)-1</x:f>
        <x:v>0.3025855423486761</x:v>
      </x:c>
      <x:c r="E19" s="50" t="n">
        <x:f>C19-1</x:f>
        <x:v>2.7500000000000004</x:v>
      </x:c>
      <x:c r="F19" s="4" t="str">
        <x:v>Illustrative pro-rata outcome</x:v>
      </x:c>
      <x:c r="G19" s="4"/>
    </x:row>
    <x:row r="20" ht="22" customHeight="1">
      <x:c r="A20" s="4"/>
      <x:c r="B20" s="4"/>
      <x:c r="C20" s="4"/>
      <x:c r="D20" s="4"/>
      <x:c r="E20" s="4"/>
      <x:c r="F20" s="4"/>
      <x:c r="G20" s="4"/>
    </x:row>
    <x:row r="21" ht="22" customHeight="1">
      <x:c r="A21" s="4"/>
      <x:c r="B21" s="4"/>
      <x:c r="C21" s="4"/>
      <x:c r="D21" s="4"/>
      <x:c r="E21" s="4"/>
      <x:c r="F21" s="4"/>
      <x:c r="G21" s="4"/>
    </x:row>
    <x:row r="22" ht="22" customHeight="1">
      <x:c r="A22" s="20" t="str">
        <x:v>Not guaranteed ROI and not a securities offer. Distributable equity is assumed already net of debt and transaction costs. The illustration assumes pro-rata distribution; actual liquidation preferences, further rounds, taxes, fees and investor rights can materially change returns. Total loss is possible.</x:v>
      </x:c>
      <x:c r="B22" s="20"/>
      <x:c r="C22" s="20"/>
      <x:c r="D22" s="20"/>
      <x:c r="E22" s="20"/>
      <x:c r="F22" s="20"/>
      <x:c r="G22" s="4"/>
    </x:row>
    <x:row r="23" ht="22" customHeight="1">
      <x:c r="A23" s="20"/>
      <x:c r="B23" s="20"/>
      <x:c r="C23" s="20"/>
      <x:c r="D23" s="20"/>
      <x:c r="E23" s="20"/>
      <x:c r="F23" s="20"/>
      <x:c r="G23" s="4"/>
    </x:row>
    <x:row r="24" ht="22" customHeight="1">
      <x:c r="A24" s="20"/>
      <x:c r="B24" s="20"/>
      <x:c r="C24" s="20"/>
      <x:c r="D24" s="20"/>
      <x:c r="E24" s="20"/>
      <x:c r="F24" s="20"/>
      <x:c r="G24" s="4"/>
    </x:row>
    <x:row r="25" ht="22" customHeight="1">
      <x:c r="A25" s="20"/>
      <x:c r="B25" s="20"/>
      <x:c r="C25" s="20"/>
      <x:c r="D25" s="20"/>
      <x:c r="E25" s="20"/>
      <x:c r="F25" s="20"/>
      <x:c r="G25" s="4"/>
    </x:row>
    <x:row r="26" ht="22" customHeight="1">
      <x:c r="A26" s="4"/>
      <x:c r="B26" s="4"/>
      <x:c r="C26" s="4"/>
      <x:c r="D26" s="4"/>
      <x:c r="E26" s="4"/>
      <x:c r="F26" s="4"/>
      <x:c r="G26" s="4"/>
    </x:row>
    <x:row r="27" ht="22" customHeight="1">
      <x:c r="A27" s="4"/>
      <x:c r="B27" s="4"/>
      <x:c r="C27" s="4"/>
      <x:c r="D27" s="4"/>
      <x:c r="E27" s="4"/>
      <x:c r="F27" s="4"/>
      <x:c r="G27" s="4"/>
    </x:row>
    <x:row r="28" ht="22" customHeight="1">
      <x:c r="A28" s="4"/>
      <x:c r="B28" s="4"/>
      <x:c r="C28" s="4"/>
      <x:c r="D28" s="4"/>
      <x:c r="E28" s="4"/>
      <x:c r="F28" s="4"/>
      <x:c r="G28" s="4"/>
    </x:row>
    <x:row r="29" ht="22" customHeight="1">
      <x:c r="A29" s="4"/>
      <x:c r="B29" s="4"/>
      <x:c r="C29" s="4"/>
      <x:c r="D29" s="4"/>
      <x:c r="E29" s="4"/>
      <x:c r="F29" s="4"/>
      <x:c r="G29" s="4"/>
    </x:row>
    <x:row r="30" ht="22" customHeight="1">
      <x:c r="A30" s="4"/>
      <x:c r="B30" s="4"/>
      <x:c r="C30" s="4"/>
      <x:c r="D30" s="4"/>
      <x:c r="E30" s="4"/>
      <x:c r="F30" s="4"/>
      <x:c r="G30" s="4"/>
    </x:row>
    <x:row r="31" ht="22" customHeight="1">
      <x:c r="A31" s="4"/>
      <x:c r="B31" s="4"/>
      <x:c r="C31" s="4"/>
      <x:c r="D31" s="4"/>
      <x:c r="E31" s="4"/>
      <x:c r="F31" s="4"/>
      <x:c r="G31" s="4"/>
    </x:row>
    <x:row r="32" ht="22" customHeight="1">
      <x:c r="A32" s="4"/>
      <x:c r="B32" s="4"/>
      <x:c r="C32" s="4"/>
      <x:c r="D32" s="4"/>
      <x:c r="E32" s="4"/>
      <x:c r="F32" s="4"/>
      <x:c r="G32" s="4"/>
    </x:row>
    <x:row r="33" ht="22" customHeight="1">
      <x:c r="A33" s="4"/>
      <x:c r="B33" s="4"/>
      <x:c r="C33" s="4"/>
      <x:c r="D33" s="4"/>
      <x:c r="E33" s="4"/>
      <x:c r="F33" s="4"/>
      <x:c r="G33" s="4"/>
    </x:row>
    <x:row r="34" ht="22" customHeight="1">
      <x:c r="A34" s="4"/>
      <x:c r="B34" s="4"/>
      <x:c r="C34" s="4"/>
      <x:c r="D34" s="4"/>
      <x:c r="E34" s="4"/>
      <x:c r="F34" s="4"/>
      <x:c r="G34" s="4"/>
    </x:row>
    <x:row r="35" ht="22" customHeight="1">
      <x:c r="A35" s="4"/>
      <x:c r="B35" s="4"/>
      <x:c r="C35" s="4"/>
      <x:c r="D35" s="4"/>
      <x:c r="E35" s="4"/>
      <x:c r="F35" s="4"/>
      <x:c r="G35" s="4"/>
    </x:row>
    <x:row r="36" ht="22" customHeight="1">
      <x:c r="A36" s="4"/>
      <x:c r="B36" s="4"/>
      <x:c r="C36" s="4"/>
      <x:c r="D36" s="4"/>
      <x:c r="E36" s="4"/>
      <x:c r="F36" s="4"/>
      <x:c r="G36" s="4"/>
    </x:row>
    <x:row r="37" ht="22" customHeight="1">
      <x:c r="A37" s="4"/>
      <x:c r="B37" s="4"/>
      <x:c r="C37" s="4"/>
      <x:c r="D37" s="4"/>
      <x:c r="E37" s="4"/>
      <x:c r="F37" s="4"/>
      <x:c r="G37" s="4"/>
    </x:row>
    <x:row r="38" ht="22" customHeight="1">
      <x:c r="A38" s="4"/>
      <x:c r="B38" s="4"/>
      <x:c r="C38" s="4"/>
      <x:c r="D38" s="4"/>
      <x:c r="E38" s="4"/>
      <x:c r="F38" s="4"/>
      <x:c r="G38" s="4"/>
    </x:row>
    <x:row r="39" ht="22" customHeight="1">
      <x:c r="A39" s="4"/>
      <x:c r="B39" s="4"/>
      <x:c r="C39" s="4"/>
      <x:c r="D39" s="4"/>
      <x:c r="E39" s="4"/>
      <x:c r="F39" s="4"/>
      <x:c r="G39" s="4"/>
    </x:row>
    <x:row r="40" ht="22" customHeight="1">
      <x:c r="A40" s="4"/>
      <x:c r="B40" s="4"/>
      <x:c r="C40" s="4"/>
      <x:c r="D40" s="4"/>
      <x:c r="E40" s="4"/>
      <x:c r="F40" s="4"/>
      <x:c r="G40" s="4"/>
    </x:row>
    <x:row r="41" ht="22" customHeight="1">
      <x:c r="A41" s="4"/>
      <x:c r="B41" s="4"/>
      <x:c r="C41" s="4"/>
      <x:c r="D41" s="4"/>
      <x:c r="E41" s="4"/>
      <x:c r="F41" s="4"/>
      <x:c r="G41" s="4"/>
    </x:row>
    <x:row r="42" ht="22" customHeight="1">
      <x:c r="A42" s="4"/>
      <x:c r="B42" s="4"/>
      <x:c r="C42" s="4"/>
      <x:c r="D42" s="4"/>
      <x:c r="E42" s="4"/>
      <x:c r="F42" s="4"/>
      <x:c r="G42" s="4"/>
    </x:row>
    <x:row r="43" ht="22" customHeight="1">
      <x:c r="A43" s="4"/>
      <x:c r="B43" s="4"/>
      <x:c r="C43" s="4"/>
      <x:c r="D43" s="4"/>
      <x:c r="E43" s="4"/>
      <x:c r="F43" s="4"/>
      <x:c r="G43" s="4"/>
    </x:row>
    <x:row r="44" ht="22" customHeight="1">
      <x:c r="A44" s="4"/>
      <x:c r="B44" s="4"/>
      <x:c r="C44" s="4"/>
      <x:c r="D44" s="4"/>
      <x:c r="E44" s="4"/>
      <x:c r="F44" s="4"/>
      <x:c r="G44" s="4"/>
    </x:row>
    <x:row r="45" ht="22" customHeight="1">
      <x:c r="A45" s="4"/>
      <x:c r="B45" s="4"/>
      <x:c r="C45" s="4"/>
      <x:c r="D45" s="4"/>
      <x:c r="E45" s="4"/>
      <x:c r="F45" s="4"/>
      <x:c r="G45" s="4"/>
    </x:row>
    <x:row r="46" ht="22" customHeight="1">
      <x:c r="A46" s="4"/>
      <x:c r="B46" s="4"/>
      <x:c r="C46" s="4"/>
      <x:c r="D46" s="4"/>
      <x:c r="E46" s="4"/>
      <x:c r="F46" s="4"/>
      <x:c r="G46" s="4"/>
    </x:row>
    <x:row r="47" ht="22" customHeight="1">
      <x:c r="A47" s="4"/>
      <x:c r="B47" s="4"/>
      <x:c r="C47" s="4"/>
      <x:c r="D47" s="4"/>
      <x:c r="E47" s="4"/>
      <x:c r="F47" s="4"/>
      <x:c r="G47" s="4"/>
    </x:row>
    <x:row r="48" ht="22" customHeight="1">
      <x:c r="A48" s="4"/>
      <x:c r="B48" s="4"/>
      <x:c r="C48" s="4"/>
      <x:c r="D48" s="4"/>
      <x:c r="E48" s="4"/>
      <x:c r="F48" s="4"/>
      <x:c r="G48" s="4"/>
    </x:row>
    <x:row r="49" ht="22" customHeight="1">
      <x:c r="A49" s="4"/>
      <x:c r="B49" s="4"/>
      <x:c r="C49" s="4"/>
      <x:c r="D49" s="4"/>
      <x:c r="E49" s="4"/>
      <x:c r="F49" s="4"/>
      <x:c r="G49" s="4"/>
    </x:row>
    <x:row r="50" ht="22" customHeight="1">
      <x:c r="A50" s="4"/>
      <x:c r="B50" s="4"/>
      <x:c r="C50" s="4"/>
      <x:c r="D50" s="4"/>
      <x:c r="E50" s="4"/>
      <x:c r="F50" s="4"/>
      <x:c r="G50" s="4"/>
    </x:row>
    <x:row r="51" ht="22" customHeight="1">
      <x:c r="A51" s="4"/>
      <x:c r="B51" s="4"/>
      <x:c r="C51" s="4"/>
      <x:c r="D51" s="4"/>
      <x:c r="E51" s="4"/>
      <x:c r="F51" s="4"/>
      <x:c r="G51" s="4"/>
    </x:row>
    <x:row r="52" ht="22" customHeight="1">
      <x:c r="A52" s="4"/>
      <x:c r="B52" s="4"/>
      <x:c r="C52" s="4"/>
      <x:c r="D52" s="4"/>
      <x:c r="E52" s="4"/>
      <x:c r="F52" s="4"/>
      <x:c r="G52" s="4"/>
    </x:row>
    <x:row r="53" ht="22" customHeight="1">
      <x:c r="A53" s="4"/>
      <x:c r="B53" s="4"/>
      <x:c r="C53" s="4"/>
      <x:c r="D53" s="4"/>
      <x:c r="E53" s="4"/>
      <x:c r="F53" s="4"/>
      <x:c r="G53" s="4"/>
    </x:row>
    <x:row r="54" ht="22" customHeight="1">
      <x:c r="A54" s="4"/>
      <x:c r="B54" s="4"/>
      <x:c r="C54" s="4"/>
      <x:c r="D54" s="4"/>
      <x:c r="E54" s="4"/>
      <x:c r="F54" s="4"/>
      <x:c r="G54" s="4"/>
    </x:row>
    <x:row r="55" ht="22" customHeight="1">
      <x:c r="A55" s="4"/>
      <x:c r="B55" s="4"/>
      <x:c r="C55" s="4"/>
      <x:c r="D55" s="4"/>
      <x:c r="E55" s="4"/>
      <x:c r="F55" s="4"/>
      <x:c r="G55" s="4"/>
    </x:row>
    <x:row r="56" ht="22" customHeight="1">
      <x:c r="A56" s="4"/>
      <x:c r="B56" s="4"/>
      <x:c r="C56" s="4"/>
      <x:c r="D56" s="4"/>
      <x:c r="E56" s="4"/>
      <x:c r="F56" s="4"/>
      <x:c r="G56" s="4"/>
    </x:row>
    <x:row r="57" ht="22" customHeight="1">
      <x:c r="A57" s="4"/>
      <x:c r="B57" s="4"/>
      <x:c r="C57" s="4"/>
      <x:c r="D57" s="4"/>
      <x:c r="E57" s="4"/>
      <x:c r="F57" s="4"/>
      <x:c r="G57" s="4"/>
    </x:row>
    <x:row r="58" ht="22" customHeight="1">
      <x:c r="A58" s="4"/>
      <x:c r="B58" s="4"/>
      <x:c r="C58" s="4"/>
      <x:c r="D58" s="4"/>
      <x:c r="E58" s="4"/>
      <x:c r="F58" s="4"/>
      <x:c r="G58" s="4"/>
    </x:row>
    <x:row r="59" ht="22" customHeight="1">
      <x:c r="A59" s="4"/>
      <x:c r="B59" s="4"/>
      <x:c r="C59" s="4"/>
      <x:c r="D59" s="4"/>
      <x:c r="E59" s="4"/>
      <x:c r="F59" s="4"/>
      <x:c r="G59" s="4"/>
    </x:row>
    <x:row r="60" ht="22" customHeight="1">
      <x:c r="A60" s="4"/>
      <x:c r="B60" s="4"/>
      <x:c r="C60" s="4"/>
      <x:c r="D60" s="4"/>
      <x:c r="E60" s="4"/>
      <x:c r="F60" s="4"/>
      <x:c r="G60" s="4"/>
    </x:row>
    <x:row r="61" ht="22" customHeight="1">
      <x:c r="A61" s="4"/>
      <x:c r="B61" s="4"/>
      <x:c r="C61" s="4"/>
      <x:c r="D61" s="4"/>
      <x:c r="E61" s="4"/>
      <x:c r="F61" s="4"/>
      <x:c r="G61" s="4"/>
    </x:row>
    <x:row r="62" ht="22" customHeight="1">
      <x:c r="A62" s="4"/>
      <x:c r="B62" s="4"/>
      <x:c r="C62" s="4"/>
      <x:c r="D62" s="4"/>
      <x:c r="E62" s="4"/>
      <x:c r="F62" s="4"/>
      <x:c r="G62" s="4"/>
    </x:row>
    <x:row r="63" ht="22" customHeight="1">
      <x:c r="A63" s="4"/>
      <x:c r="B63" s="4"/>
      <x:c r="C63" s="4"/>
      <x:c r="D63" s="4"/>
      <x:c r="E63" s="4"/>
      <x:c r="F63" s="4"/>
      <x:c r="G63" s="4"/>
    </x:row>
    <x:row r="64" ht="22" customHeight="1">
      <x:c r="A64" s="4"/>
      <x:c r="B64" s="4"/>
      <x:c r="C64" s="4"/>
      <x:c r="D64" s="4"/>
      <x:c r="E64" s="4"/>
      <x:c r="F64" s="4"/>
      <x:c r="G64" s="4"/>
    </x:row>
    <x:row r="65" ht="22" customHeight="1">
      <x:c r="A65" s="4"/>
      <x:c r="B65" s="4"/>
      <x:c r="C65" s="4"/>
      <x:c r="D65" s="4"/>
      <x:c r="E65" s="4"/>
      <x:c r="F65" s="4"/>
      <x:c r="G65" s="4"/>
    </x:row>
  </x:sheetData>
  <x:mergeCells>
    <x:mergeCell ref="A1:F2"/>
    <x:mergeCell ref="A22:F2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0" hidden="0" customWidth="1"/>
    <x:col min="3" max="3" width="4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4" customHeight="1">
      <x:c r="A1" s="7" t="str">
        <x:v>NUTRISYNC | SOURCE &amp; ASSUMPTION REGISTER</x:v>
      </x:c>
      <x:c r="B1" s="7"/>
      <x:c r="C1" s="7"/>
      <x:c r="D1" s="4"/>
      <x:c r="E1" s="4"/>
      <x:c r="F1" s="4"/>
      <x:c r="G1" s="4"/>
    </x:row>
    <x:row r="2" ht="24" customHeight="1">
      <x:c r="A2" s="7"/>
      <x:c r="B2" s="7"/>
      <x:c r="C2" s="7"/>
      <x:c r="D2" s="4"/>
      <x:c r="E2" s="4"/>
      <x:c r="F2" s="4"/>
      <x:c r="G2" s="4"/>
    </x:row>
    <x:row r="3" ht="22" customHeight="1">
      <x:c r="A3" s="4"/>
      <x:c r="B3" s="4"/>
      <x:c r="C3" s="4"/>
      <x:c r="D3" s="4"/>
      <x:c r="E3" s="4"/>
      <x:c r="F3" s="4"/>
      <x:c r="G3" s="4"/>
    </x:row>
    <x:row r="4" ht="22" customHeight="1">
      <x:c r="A4" s="4"/>
      <x:c r="B4" s="4"/>
      <x:c r="C4" s="4"/>
      <x:c r="D4" s="4"/>
      <x:c r="E4" s="4"/>
      <x:c r="F4" s="4"/>
      <x:c r="G4" s="4"/>
    </x:row>
    <x:row r="5" ht="32" customHeight="1">
      <x:c r="A5" s="11" t="str">
        <x:v>Reference</x:v>
      </x:c>
      <x:c r="B5" s="11" t="str">
        <x:v>Use</x:v>
      </x:c>
      <x:c r="C5" s="11" t="str">
        <x:v>Source / location</x:v>
      </x:c>
      <x:c r="D5" s="4"/>
      <x:c r="E5" s="4"/>
      <x:c r="F5" s="4"/>
      <x:c r="G5" s="4"/>
    </x:row>
    <x:row r="6" ht="64" customHeight="1">
      <x:c r="A6" s="4" t="str">
        <x:v>Business proposal v1.0</x:v>
      </x:c>
      <x:c r="B6" s="4" t="str">
        <x:v>Budget, funnel and return inputs are new assumptions</x:v>
      </x:c>
      <x:c r="C6" s="4" t="str">
        <x:v>NutriSync_Value_and_Business_Proposal_EN_v1_0.md, sections 4–6, 9–11 and 19</x:v>
      </x:c>
      <x:c r="D6" s="4"/>
      <x:c r="E6" s="4"/>
      <x:c r="F6" s="4"/>
      <x:c r="G6" s="4"/>
    </x:row>
    <x:row r="7" ht="64" customHeight="1">
      <x:c r="A7" s="4" t="str">
        <x:v>Proposal 32 v8</x:v>
      </x:c>
      <x:c r="B7" s="4" t="str">
        <x:v>Product/cloud/market architecture only; not forecast</x:v>
      </x:c>
      <x:c r="C7" s="4" t="str">
        <x:v>https://docs.google.com/document/d/1ub944wLwYx3BjXRH3NvUJgc4_AealCUY/edit</x:v>
      </x:c>
      <x:c r="D7" s="4"/>
      <x:c r="E7" s="4"/>
      <x:c r="F7" s="4"/>
      <x:c r="G7" s="4"/>
    </x:row>
    <x:row r="8" ht="64" customHeight="1">
      <x:c r="A8" s="4" t="str">
        <x:v>Commercial partner radar</x:v>
      </x:c>
      <x:c r="B8" s="4" t="str">
        <x:v>Prospects, not commitments</x:v>
      </x:c>
      <x:c r="C8" s="4" t="str">
        <x:v>https://docs.google.com/document/d/1fyzQ3UnlTwY1B77OWQkcRrdgQhDqAvAd/edit</x:v>
      </x:c>
      <x:c r="D8" s="4"/>
      <x:c r="E8" s="4"/>
      <x:c r="F8" s="4"/>
      <x:c r="G8" s="4"/>
    </x:row>
    <x:row r="9" ht="64" customHeight="1">
      <x:c r="A9" s="4" t="str">
        <x:v>Historical finance workbook</x:v>
      </x:c>
      <x:c r="B9" s="4" t="str">
        <x:v>Kept separately; not audited or replaced</x:v>
      </x:c>
      <x:c r="C9" s="4" t="str">
        <x:v>https://docs.google.com/spreadsheets/d/1zKHMbQW6ZG3xrr8X0x9_rfML3t_AAcBIyLHvMnmmGzA/edit</x:v>
      </x:c>
      <x:c r="D9" s="4"/>
      <x:c r="E9" s="4"/>
      <x:c r="F9" s="4"/>
      <x:c r="G9" s="4"/>
    </x:row>
    <x:row r="10" ht="64" customHeight="1">
      <x:c r="A10" s="4" t="str">
        <x:v>EDG eligibility</x:v>
      </x:c>
      <x:c r="B10" s="4" t="str">
        <x:v>Potential support only; zero included cash</x:v>
      </x:c>
      <x:c r="C10" s="4" t="str">
        <x:v>https://www.enterprisesg.gov.sg/financial-support/enterprise-development-grant</x:v>
      </x:c>
      <x:c r="D10" s="4"/>
      <x:c r="E10" s="4"/>
      <x:c r="F10" s="4"/>
      <x:c r="G10" s="4"/>
    </x:row>
    <x:row r="11" ht="64" customHeight="1">
      <x:c r="A11" s="4" t="str">
        <x:v>Startup SG Founder</x:v>
      </x:c>
      <x:c r="B11" s="4" t="str">
        <x:v>Eligibility needs separate assessment</x:v>
      </x:c>
      <x:c r="C11" s="4" t="str">
        <x:v>https://www.mti.gov.sg/newsroom/written-reply-to-pq-on-reviewing-requirement-in-startup-sg-founder-programme-for-at-least-one-first-time-founder-that-has-no-prior-registered-private-limited-entity/</x:v>
      </x:c>
      <x:c r="D11" s="4"/>
      <x:c r="E11" s="4"/>
      <x:c r="F11" s="4"/>
      <x:c r="G11" s="4"/>
    </x:row>
    <x:row r="12" ht="64" customHeight="1">
      <x:c r="A12" s="4" t="str">
        <x:v>Australia R&amp;D Tax Incentive</x:v>
      </x:c>
      <x:c r="B12" s="4" t="str">
        <x:v>Entity/activity eligibility; zero assumed funding</x:v>
      </x:c>
      <x:c r="C12" s="4" t="str">
        <x:v>https://business.gov.au/grants-and-programs/research-and-development-tax-incentive/check-if-you-are-eligible-for-the-randd-tax-incentive</x:v>
      </x:c>
      <x:c r="D12" s="4"/>
      <x:c r="E12" s="4"/>
      <x:c r="F12" s="4"/>
      <x:c r="G12" s="4"/>
    </x:row>
    <x:row r="13" ht="64" customHeight="1">
      <x:c r="A13" s="4" t="str">
        <x:v>Founder-supplied context</x:v>
      </x:c>
      <x:c r="B13" s="4" t="str">
        <x:v>Own-capacity intention; Lucia PR and local contacts</x:v>
      </x:c>
      <x:c r="C13" s="4" t="str">
        <x:v>User instructions, 7 September 2026; not verification of cash, grant eligibility or contract status</x:v>
      </x:c>
      <x:c r="D13" s="4"/>
      <x:c r="E13" s="4"/>
      <x:c r="F13" s="4"/>
      <x:c r="G13" s="4"/>
    </x:row>
    <x:row r="14" ht="22" customHeight="1">
      <x:c r="A14" s="4"/>
      <x:c r="B14" s="4"/>
      <x:c r="C14" s="4"/>
      <x:c r="D14" s="4"/>
      <x:c r="E14" s="4"/>
      <x:c r="F14" s="4"/>
      <x:c r="G14" s="4"/>
    </x:row>
    <x:row r="15" ht="22" customHeight="1">
      <x:c r="A15" s="4"/>
      <x:c r="B15" s="4"/>
      <x:c r="C15" s="4"/>
      <x:c r="D15" s="4"/>
      <x:c r="E15" s="4"/>
      <x:c r="F15" s="4"/>
      <x:c r="G15" s="4"/>
    </x:row>
    <x:row r="16" ht="22" customHeight="1">
      <x:c r="A16" s="4"/>
      <x:c r="B16" s="4"/>
      <x:c r="C16" s="4"/>
      <x:c r="D16" s="4"/>
      <x:c r="E16" s="4"/>
      <x:c r="F16" s="4"/>
      <x:c r="G16" s="4"/>
    </x:row>
    <x:row r="17" ht="22" customHeight="1">
      <x:c r="A17" s="4"/>
      <x:c r="B17" s="4"/>
      <x:c r="C17" s="4"/>
      <x:c r="D17" s="4"/>
      <x:c r="E17" s="4"/>
      <x:c r="F17" s="4"/>
      <x:c r="G17" s="4"/>
    </x:row>
    <x:row r="18" ht="22" customHeight="1">
      <x:c r="A18" s="4"/>
      <x:c r="B18" s="4"/>
      <x:c r="C18" s="4"/>
      <x:c r="D18" s="4"/>
      <x:c r="E18" s="4"/>
      <x:c r="F18" s="4"/>
      <x:c r="G18" s="4"/>
    </x:row>
    <x:row r="19" ht="22" customHeight="1">
      <x:c r="A19" s="4"/>
      <x:c r="B19" s="4"/>
      <x:c r="C19" s="4"/>
      <x:c r="D19" s="4"/>
      <x:c r="E19" s="4"/>
      <x:c r="F19" s="4"/>
      <x:c r="G19" s="4"/>
    </x:row>
    <x:row r="20" ht="22" customHeight="1">
      <x:c r="A20" s="4"/>
      <x:c r="B20" s="4"/>
      <x:c r="C20" s="4"/>
      <x:c r="D20" s="4"/>
      <x:c r="E20" s="4"/>
      <x:c r="F20" s="4"/>
      <x:c r="G20" s="4"/>
    </x:row>
    <x:row r="21" ht="22" customHeight="1">
      <x:c r="A21" s="4"/>
      <x:c r="B21" s="4"/>
      <x:c r="C21" s="4"/>
      <x:c r="D21" s="4"/>
      <x:c r="E21" s="4"/>
      <x:c r="F21" s="4"/>
      <x:c r="G21" s="4"/>
    </x:row>
    <x:row r="22" ht="22" customHeight="1">
      <x:c r="A22" s="4"/>
      <x:c r="B22" s="4"/>
      <x:c r="C22" s="4"/>
      <x:c r="D22" s="4"/>
      <x:c r="E22" s="4"/>
      <x:c r="F22" s="4"/>
      <x:c r="G22" s="4"/>
    </x:row>
    <x:row r="23" ht="22" customHeight="1">
      <x:c r="A23" s="4"/>
      <x:c r="B23" s="4"/>
      <x:c r="C23" s="4"/>
      <x:c r="D23" s="4"/>
      <x:c r="E23" s="4"/>
      <x:c r="F23" s="4"/>
      <x:c r="G23" s="4"/>
    </x:row>
    <x:row r="24" ht="22" customHeight="1">
      <x:c r="A24" s="4"/>
      <x:c r="B24" s="4"/>
      <x:c r="C24" s="4"/>
      <x:c r="D24" s="4"/>
      <x:c r="E24" s="4"/>
      <x:c r="F24" s="4"/>
      <x:c r="G24" s="4"/>
    </x:row>
    <x:row r="25" ht="22" customHeight="1">
      <x:c r="A25" s="4"/>
      <x:c r="B25" s="4"/>
      <x:c r="C25" s="4"/>
      <x:c r="D25" s="4"/>
      <x:c r="E25" s="4"/>
      <x:c r="F25" s="4"/>
      <x:c r="G25" s="4"/>
    </x:row>
    <x:row r="26" ht="22" customHeight="1">
      <x:c r="A26" s="4"/>
      <x:c r="B26" s="4"/>
      <x:c r="C26" s="4"/>
      <x:c r="D26" s="4"/>
      <x:c r="E26" s="4"/>
      <x:c r="F26" s="4"/>
      <x:c r="G26" s="4"/>
    </x:row>
    <x:row r="27" ht="22" customHeight="1">
      <x:c r="A27" s="4"/>
      <x:c r="B27" s="4"/>
      <x:c r="C27" s="4"/>
      <x:c r="D27" s="4"/>
      <x:c r="E27" s="4"/>
      <x:c r="F27" s="4"/>
      <x:c r="G27" s="4"/>
    </x:row>
    <x:row r="28" ht="22" customHeight="1">
      <x:c r="A28" s="4"/>
      <x:c r="B28" s="4"/>
      <x:c r="C28" s="4"/>
      <x:c r="D28" s="4"/>
      <x:c r="E28" s="4"/>
      <x:c r="F28" s="4"/>
      <x:c r="G28" s="4"/>
    </x:row>
    <x:row r="29" ht="22" customHeight="1">
      <x:c r="A29" s="4"/>
      <x:c r="B29" s="4"/>
      <x:c r="C29" s="4"/>
      <x:c r="D29" s="4"/>
      <x:c r="E29" s="4"/>
      <x:c r="F29" s="4"/>
      <x:c r="G29" s="4"/>
    </x:row>
    <x:row r="30" ht="22" customHeight="1">
      <x:c r="A30" s="4"/>
      <x:c r="B30" s="4"/>
      <x:c r="C30" s="4"/>
      <x:c r="D30" s="4"/>
      <x:c r="E30" s="4"/>
      <x:c r="F30" s="4"/>
      <x:c r="G30" s="4"/>
    </x:row>
    <x:row r="31" ht="22" customHeight="1">
      <x:c r="A31" s="4"/>
      <x:c r="B31" s="4"/>
      <x:c r="C31" s="4"/>
      <x:c r="D31" s="4"/>
      <x:c r="E31" s="4"/>
      <x:c r="F31" s="4"/>
      <x:c r="G31" s="4"/>
    </x:row>
    <x:row r="32" ht="22" customHeight="1">
      <x:c r="A32" s="4"/>
      <x:c r="B32" s="4"/>
      <x:c r="C32" s="4"/>
      <x:c r="D32" s="4"/>
      <x:c r="E32" s="4"/>
      <x:c r="F32" s="4"/>
      <x:c r="G32" s="4"/>
    </x:row>
    <x:row r="33" ht="22" customHeight="1">
      <x:c r="A33" s="4"/>
      <x:c r="B33" s="4"/>
      <x:c r="C33" s="4"/>
      <x:c r="D33" s="4"/>
      <x:c r="E33" s="4"/>
      <x:c r="F33" s="4"/>
      <x:c r="G33" s="4"/>
    </x:row>
    <x:row r="34" ht="22" customHeight="1">
      <x:c r="A34" s="4"/>
      <x:c r="B34" s="4"/>
      <x:c r="C34" s="4"/>
      <x:c r="D34" s="4"/>
      <x:c r="E34" s="4"/>
      <x:c r="F34" s="4"/>
      <x:c r="G34" s="4"/>
    </x:row>
    <x:row r="35" ht="22" customHeight="1">
      <x:c r="A35" s="4"/>
      <x:c r="B35" s="4"/>
      <x:c r="C35" s="4"/>
      <x:c r="D35" s="4"/>
      <x:c r="E35" s="4"/>
      <x:c r="F35" s="4"/>
      <x:c r="G35" s="4"/>
    </x:row>
    <x:row r="36" ht="22" customHeight="1">
      <x:c r="A36" s="4"/>
      <x:c r="B36" s="4"/>
      <x:c r="C36" s="4"/>
      <x:c r="D36" s="4"/>
      <x:c r="E36" s="4"/>
      <x:c r="F36" s="4"/>
      <x:c r="G36" s="4"/>
    </x:row>
    <x:row r="37" ht="22" customHeight="1">
      <x:c r="A37" s="4"/>
      <x:c r="B37" s="4"/>
      <x:c r="C37" s="4"/>
      <x:c r="D37" s="4"/>
      <x:c r="E37" s="4"/>
      <x:c r="F37" s="4"/>
      <x:c r="G37" s="4"/>
    </x:row>
    <x:row r="38" ht="22" customHeight="1">
      <x:c r="A38" s="4"/>
      <x:c r="B38" s="4"/>
      <x:c r="C38" s="4"/>
      <x:c r="D38" s="4"/>
      <x:c r="E38" s="4"/>
      <x:c r="F38" s="4"/>
      <x:c r="G38" s="4"/>
    </x:row>
    <x:row r="39" ht="22" customHeight="1">
      <x:c r="A39" s="4"/>
      <x:c r="B39" s="4"/>
      <x:c r="C39" s="4"/>
      <x:c r="D39" s="4"/>
      <x:c r="E39" s="4"/>
      <x:c r="F39" s="4"/>
      <x:c r="G39" s="4"/>
    </x:row>
    <x:row r="40" ht="22" customHeight="1">
      <x:c r="A40" s="4"/>
      <x:c r="B40" s="4"/>
      <x:c r="C40" s="4"/>
      <x:c r="D40" s="4"/>
      <x:c r="E40" s="4"/>
      <x:c r="F40" s="4"/>
      <x:c r="G40" s="4"/>
    </x:row>
    <x:row r="41" ht="22" customHeight="1">
      <x:c r="A41" s="4"/>
      <x:c r="B41" s="4"/>
      <x:c r="C41" s="4"/>
      <x:c r="D41" s="4"/>
      <x:c r="E41" s="4"/>
      <x:c r="F41" s="4"/>
      <x:c r="G41" s="4"/>
    </x:row>
    <x:row r="42" ht="22" customHeight="1">
      <x:c r="A42" s="4"/>
      <x:c r="B42" s="4"/>
      <x:c r="C42" s="4"/>
      <x:c r="D42" s="4"/>
      <x:c r="E42" s="4"/>
      <x:c r="F42" s="4"/>
      <x:c r="G42" s="4"/>
    </x:row>
    <x:row r="43" ht="22" customHeight="1">
      <x:c r="A43" s="4"/>
      <x:c r="B43" s="4"/>
      <x:c r="C43" s="4"/>
      <x:c r="D43" s="4"/>
      <x:c r="E43" s="4"/>
      <x:c r="F43" s="4"/>
      <x:c r="G43" s="4"/>
    </x:row>
    <x:row r="44" ht="22" customHeight="1">
      <x:c r="A44" s="4"/>
      <x:c r="B44" s="4"/>
      <x:c r="C44" s="4"/>
      <x:c r="D44" s="4"/>
      <x:c r="E44" s="4"/>
      <x:c r="F44" s="4"/>
      <x:c r="G44" s="4"/>
    </x:row>
    <x:row r="45" ht="22" customHeight="1">
      <x:c r="A45" s="4"/>
      <x:c r="B45" s="4"/>
      <x:c r="C45" s="4"/>
      <x:c r="D45" s="4"/>
      <x:c r="E45" s="4"/>
      <x:c r="F45" s="4"/>
      <x:c r="G45" s="4"/>
    </x:row>
    <x:row r="46" ht="22" customHeight="1">
      <x:c r="A46" s="4"/>
      <x:c r="B46" s="4"/>
      <x:c r="C46" s="4"/>
      <x:c r="D46" s="4"/>
      <x:c r="E46" s="4"/>
      <x:c r="F46" s="4"/>
      <x:c r="G46" s="4"/>
    </x:row>
    <x:row r="47" ht="22" customHeight="1">
      <x:c r="A47" s="4"/>
      <x:c r="B47" s="4"/>
      <x:c r="C47" s="4"/>
      <x:c r="D47" s="4"/>
      <x:c r="E47" s="4"/>
      <x:c r="F47" s="4"/>
      <x:c r="G47" s="4"/>
    </x:row>
    <x:row r="48" ht="22" customHeight="1">
      <x:c r="A48" s="4"/>
      <x:c r="B48" s="4"/>
      <x:c r="C48" s="4"/>
      <x:c r="D48" s="4"/>
      <x:c r="E48" s="4"/>
      <x:c r="F48" s="4"/>
      <x:c r="G48" s="4"/>
    </x:row>
    <x:row r="49" ht="22" customHeight="1">
      <x:c r="A49" s="4"/>
      <x:c r="B49" s="4"/>
      <x:c r="C49" s="4"/>
      <x:c r="D49" s="4"/>
      <x:c r="E49" s="4"/>
      <x:c r="F49" s="4"/>
      <x:c r="G49" s="4"/>
    </x:row>
    <x:row r="50" ht="22" customHeight="1">
      <x:c r="A50" s="4"/>
      <x:c r="B50" s="4"/>
      <x:c r="C50" s="4"/>
      <x:c r="D50" s="4"/>
      <x:c r="E50" s="4"/>
      <x:c r="F50" s="4"/>
      <x:c r="G50" s="4"/>
    </x:row>
    <x:row r="51" ht="22" customHeight="1">
      <x:c r="A51" s="4"/>
      <x:c r="B51" s="4"/>
      <x:c r="C51" s="4"/>
      <x:c r="D51" s="4"/>
      <x:c r="E51" s="4"/>
      <x:c r="F51" s="4"/>
      <x:c r="G51" s="4"/>
    </x:row>
    <x:row r="52" ht="22" customHeight="1">
      <x:c r="A52" s="4"/>
      <x:c r="B52" s="4"/>
      <x:c r="C52" s="4"/>
      <x:c r="D52" s="4"/>
      <x:c r="E52" s="4"/>
      <x:c r="F52" s="4"/>
      <x:c r="G52" s="4"/>
    </x:row>
    <x:row r="53" ht="22" customHeight="1">
      <x:c r="A53" s="4"/>
      <x:c r="B53" s="4"/>
      <x:c r="C53" s="4"/>
      <x:c r="D53" s="4"/>
      <x:c r="E53" s="4"/>
      <x:c r="F53" s="4"/>
      <x:c r="G53" s="4"/>
    </x:row>
    <x:row r="54" ht="22" customHeight="1">
      <x:c r="A54" s="4"/>
      <x:c r="B54" s="4"/>
      <x:c r="C54" s="4"/>
      <x:c r="D54" s="4"/>
      <x:c r="E54" s="4"/>
      <x:c r="F54" s="4"/>
      <x:c r="G54" s="4"/>
    </x:row>
    <x:row r="55" ht="22" customHeight="1">
      <x:c r="A55" s="4"/>
      <x:c r="B55" s="4"/>
      <x:c r="C55" s="4"/>
      <x:c r="D55" s="4"/>
      <x:c r="E55" s="4"/>
      <x:c r="F55" s="4"/>
      <x:c r="G55" s="4"/>
    </x:row>
    <x:row r="56" ht="22" customHeight="1">
      <x:c r="A56" s="4"/>
      <x:c r="B56" s="4"/>
      <x:c r="C56" s="4"/>
      <x:c r="D56" s="4"/>
      <x:c r="E56" s="4"/>
      <x:c r="F56" s="4"/>
      <x:c r="G56" s="4"/>
    </x:row>
    <x:row r="57" ht="22" customHeight="1">
      <x:c r="A57" s="4"/>
      <x:c r="B57" s="4"/>
      <x:c r="C57" s="4"/>
      <x:c r="D57" s="4"/>
      <x:c r="E57" s="4"/>
      <x:c r="F57" s="4"/>
      <x:c r="G57" s="4"/>
    </x:row>
    <x:row r="58" ht="22" customHeight="1">
      <x:c r="A58" s="4"/>
      <x:c r="B58" s="4"/>
      <x:c r="C58" s="4"/>
      <x:c r="D58" s="4"/>
      <x:c r="E58" s="4"/>
      <x:c r="F58" s="4"/>
      <x:c r="G58" s="4"/>
    </x:row>
    <x:row r="59" ht="22" customHeight="1">
      <x:c r="A59" s="4"/>
      <x:c r="B59" s="4"/>
      <x:c r="C59" s="4"/>
      <x:c r="D59" s="4"/>
      <x:c r="E59" s="4"/>
      <x:c r="F59" s="4"/>
      <x:c r="G59" s="4"/>
    </x:row>
    <x:row r="60" ht="22" customHeight="1">
      <x:c r="A60" s="4"/>
      <x:c r="B60" s="4"/>
      <x:c r="C60" s="4"/>
      <x:c r="D60" s="4"/>
      <x:c r="E60" s="4"/>
      <x:c r="F60" s="4"/>
      <x:c r="G60" s="4"/>
    </x:row>
    <x:row r="61" ht="22" customHeight="1">
      <x:c r="A61" s="4"/>
      <x:c r="B61" s="4"/>
      <x:c r="C61" s="4"/>
      <x:c r="D61" s="4"/>
      <x:c r="E61" s="4"/>
      <x:c r="F61" s="4"/>
      <x:c r="G61" s="4"/>
    </x:row>
    <x:row r="62" ht="22" customHeight="1">
      <x:c r="A62" s="4"/>
      <x:c r="B62" s="4"/>
      <x:c r="C62" s="4"/>
      <x:c r="D62" s="4"/>
      <x:c r="E62" s="4"/>
      <x:c r="F62" s="4"/>
      <x:c r="G62" s="4"/>
    </x:row>
    <x:row r="63" ht="22" customHeight="1">
      <x:c r="A63" s="4"/>
      <x:c r="B63" s="4"/>
      <x:c r="C63" s="4"/>
      <x:c r="D63" s="4"/>
      <x:c r="E63" s="4"/>
      <x:c r="F63" s="4"/>
      <x:c r="G63" s="4"/>
    </x:row>
    <x:row r="64" ht="22" customHeight="1">
      <x:c r="A64" s="4"/>
      <x:c r="B64" s="4"/>
      <x:c r="C64" s="4"/>
      <x:c r="D64" s="4"/>
      <x:c r="E64" s="4"/>
      <x:c r="F64" s="4"/>
      <x:c r="G64" s="4"/>
    </x:row>
    <x:row r="65" ht="22" customHeight="1">
      <x:c r="A65" s="4"/>
      <x:c r="B65" s="4"/>
      <x:c r="C65" s="4"/>
      <x:c r="D65" s="4"/>
      <x:c r="E65" s="4"/>
      <x:c r="F65" s="4"/>
      <x:c r="G65" s="4"/>
    </x:row>
  </x:sheetData>
  <x:mergeCells>
    <x:mergeCell ref="A1:C2"/>
  </x:mergeCells>
  <x:pageMargins left="0.7" right="0.7" top="0.75" bottom="0.75" header="0.3" footer="0.3"/>
</x:worksheet>
</file>