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· Summary" sheetId="1" state="visible" r:id="rId1"/>
    <sheet xmlns:r="http://schemas.openxmlformats.org/officeDocument/2006/relationships" name="2026 (sep-dic)" sheetId="2" state="visible" r:id="rId2"/>
    <sheet xmlns:r="http://schemas.openxmlformats.org/officeDocument/2006/relationships" name="2027" sheetId="3" state="visible" r:id="rId3"/>
    <sheet xmlns:r="http://schemas.openxmlformats.org/officeDocument/2006/relationships" name="Actuales · Actuals" sheetId="4" state="visible" r:id="rId4"/>
    <sheet xmlns:r="http://schemas.openxmlformats.org/officeDocument/2006/relationships" name="Balance pro-forma" sheetId="5" state="visible" r:id="rId5"/>
    <sheet xmlns:r="http://schemas.openxmlformats.org/officeDocument/2006/relationships" name="Servicios profesion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#,##0.00 €"/>
  </numFmts>
  <fonts count="10">
    <font>
      <name val="Calibri"/>
      <family val="2"/>
      <color theme="1"/>
      <sz val="11"/>
      <scheme val="minor"/>
    </font>
    <font>
      <b val="1"/>
      <color rgb="FFE8472A"/>
      <sz val="14"/>
    </font>
    <font>
      <color rgb="FF8A7F78"/>
      <sz val="10"/>
    </font>
    <font>
      <b val="1"/>
      <color rgb="FFFFFFFF"/>
      <sz val="10"/>
    </font>
    <font>
      <b val="1"/>
    </font>
    <font>
      <b val="1"/>
      <sz val="11"/>
    </font>
    <font>
      <b val="1"/>
      <sz val="9"/>
    </font>
    <font>
      <b val="1"/>
      <color rgb="FFE8472A"/>
      <sz val="12"/>
    </font>
    <font>
      <color rgb="FF8A7F78"/>
      <sz val="9"/>
    </font>
    <font>
      <b val="1"/>
      <color rgb="FFE8472A"/>
    </font>
  </fonts>
  <fills count="3">
    <fill>
      <patternFill/>
    </fill>
    <fill>
      <patternFill patternType="gray125"/>
    </fill>
    <fill>
      <patternFill patternType="solid">
        <fgColor rgb="FFE84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5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NutriSync Collective · Presupuesto y necesidad de financiación · Budget &amp; funding need</t>
        </is>
      </c>
    </row>
    <row r="2">
      <c r="A2" s="2" t="inlineStr">
        <is>
          <t>Rango solicitado / Requested range: 15.000 – 25.000 € · 16 meses (sep-2026 → dic-2027)</t>
        </is>
      </c>
    </row>
    <row r="4" ht="26" customHeight="1">
      <c r="A4" s="3" t="inlineStr"/>
      <c r="B4" s="3" t="inlineStr">
        <is>
          <t>Escenario mínimo · Minimum</t>
        </is>
      </c>
      <c r="C4" s="3" t="inlineStr">
        <is>
          <t>Escenario objetivo · Target</t>
        </is>
      </c>
    </row>
    <row r="5">
      <c r="A5" t="inlineStr">
        <is>
          <t>2026 (sep–dic) · salir a producción / go live</t>
        </is>
      </c>
      <c r="B5" s="4" t="n">
        <v>5594</v>
      </c>
      <c r="C5" s="4" t="n">
        <v>8305</v>
      </c>
    </row>
    <row r="6">
      <c r="A6" t="inlineStr">
        <is>
          <t>2027 (12 meses) · sostener y escalar / sustain &amp; scale</t>
        </is>
      </c>
      <c r="B6" s="4" t="n">
        <v>9427</v>
      </c>
      <c r="C6" s="4" t="n">
        <v>16610</v>
      </c>
    </row>
    <row r="7">
      <c r="A7" s="5" t="inlineStr">
        <is>
          <t>TOTAL 16 meses · 16 months</t>
        </is>
      </c>
      <c r="B7" s="6" t="n">
        <v>15020</v>
      </c>
      <c r="C7" s="6" t="n">
        <v>24915</v>
      </c>
    </row>
    <row r="9">
      <c r="A9" s="7" t="inlineStr">
        <is>
          <t>Qué compra cada escenario / What each scenario buys</t>
        </is>
      </c>
    </row>
    <row r="10" ht="46" customHeight="1">
      <c r="A10" s="8" t="inlineStr">
        <is>
          <t>Mínimo (15 k€)</t>
        </is>
      </c>
      <c r="B10" s="9" t="inlineStr">
        <is>
          <t>Salir a producción y mantener la operación 16 meses: plataforma, cumplimiento RGPD (DPD externo + EIPD), constitución de la S.L., panel asesor mínimo y marketing simbólico. Las fundadoras y el fundador siguen sin retribución.</t>
        </is>
      </c>
    </row>
    <row r="11" ht="46" customHeight="1">
      <c r="A11" s="8" t="inlineStr">
        <is>
          <t>Minimum (15 k€)</t>
        </is>
      </c>
      <c r="B11" s="9" t="inlineStr">
        <is>
          <t>Go live and keep operating for 16 months: platform, GDPR compliance (external DPO + DPIA), incorporation, a minimal advisory panel and token marketing. Founders remain unpaid.</t>
        </is>
      </c>
    </row>
    <row r="12" ht="46" customHeight="1">
      <c r="A12" s="8" t="inlineStr">
        <is>
          <t>Objetivo (25 k€)</t>
        </is>
      </c>
      <c r="B12" s="9" t="inlineStr">
        <is>
          <t>Lo anterior + IA de producto con volumen real de usuarias, diseño y contenido de lanzamiento, panel asesor y nutricionistas remunerados, y presupuesto de captación para llegar a la ronda semilla con tracción.</t>
        </is>
      </c>
    </row>
    <row r="13" ht="46" customHeight="1">
      <c r="A13" s="8" t="inlineStr">
        <is>
          <t>Target (25 k€)</t>
        </is>
      </c>
      <c r="B13" s="9" t="inlineStr">
        <is>
          <t>The above + product AI at real user volume, launch design &amp; content, a paid advisory panel and nutritionists, and an acquisition budget to reach the seed round with traction.</t>
        </is>
      </c>
    </row>
    <row r="16">
      <c r="A16" s="7" t="inlineStr">
        <is>
          <t>No incluido en la petición / Not in the ask</t>
        </is>
      </c>
    </row>
    <row r="17">
      <c r="A17" s="9" t="inlineStr">
        <is>
          <t>Servicios profesionales de las fundadoras y el fundador (Lucía, Pilar, Juanjo, Mapi): aportación en especie — ver la hoja «Servicios profesionales». Capital social de la S.L. (3.000 €): aportación de las socias, no gasto. Honorarios de Intelectium: solo a éxito sobre financiación pública obtenida.</t>
        </is>
      </c>
    </row>
    <row r="18"/>
    <row r="19"/>
  </sheetData>
  <mergeCells count="5">
    <mergeCell ref="B12:F12"/>
    <mergeCell ref="B10:F10"/>
    <mergeCell ref="B11:F11"/>
    <mergeCell ref="A17:F1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8" customWidth="1" min="1" max="1"/>
    <col width="52" customWidth="1" min="2" max="2"/>
    <col width="14" customWidth="1" min="3" max="3"/>
    <col width="14" customWidth="1" min="4" max="4"/>
  </cols>
  <sheetData>
    <row r="1">
      <c r="A1" s="10" t="inlineStr">
        <is>
          <t>NutriSync · 2026 (sep-dic) · sep–dic 2026 · 4 meses</t>
        </is>
      </c>
    </row>
    <row r="3" ht="26" customHeight="1">
      <c r="A3" s="3" t="inlineStr">
        <is>
          <t>Concepto (ES)</t>
        </is>
      </c>
      <c r="B3" s="3" t="inlineStr">
        <is>
          <t>Category (EN)</t>
        </is>
      </c>
      <c r="C3" s="3" t="inlineStr">
        <is>
          <t>Mínimo €</t>
        </is>
      </c>
      <c r="D3" s="3" t="inlineStr">
        <is>
          <t>Objetivo €</t>
        </is>
      </c>
    </row>
    <row r="4">
      <c r="A4" t="inlineStr">
        <is>
          <t>Licencias de desarrollo e IA (Claude Max · ChatGPT Pro · imputadas)</t>
        </is>
      </c>
      <c r="B4" t="inlineStr">
        <is>
          <t>Development &amp; AI licences (Claude Max · ChatGPT Pro · imputed)</t>
        </is>
      </c>
      <c r="C4" s="4" t="n">
        <v>1100</v>
      </c>
      <c r="D4" s="4" t="n">
        <v>1400</v>
      </c>
    </row>
    <row r="5">
      <c r="A5" t="inlineStr">
        <is>
          <t>Plataforma y datos (Supabase Pro+PITR · Cloudflare · GitHub · correo · dominio)</t>
        </is>
      </c>
      <c r="B5" t="inlineStr">
        <is>
          <t>Platform &amp; data (Supabase Pro+PITR · Cloudflare · GitHub · email · domain)</t>
        </is>
      </c>
      <c r="C5" s="4" t="n">
        <v>550</v>
      </c>
      <c r="D5" s="4" t="n">
        <v>700</v>
      </c>
    </row>
    <row r="6">
      <c r="A6" t="inlineStr">
        <is>
          <t>IA de producto por uso (foto → macros)</t>
        </is>
      </c>
      <c r="B6" t="inlineStr">
        <is>
          <t>Product AI usage (photo → macros)</t>
        </is>
      </c>
      <c r="C6" s="4" t="n">
        <v>50</v>
      </c>
      <c r="D6" s="4" t="n">
        <v>150</v>
      </c>
    </row>
    <row r="7">
      <c r="A7" t="inlineStr">
        <is>
          <t>Tiendas (Apple Developer · Google Play)</t>
        </is>
      </c>
      <c r="B7" t="inlineStr">
        <is>
          <t>App stores (Apple Developer · Google Play)</t>
        </is>
      </c>
      <c r="C7" s="4" t="n">
        <v>35</v>
      </c>
      <c r="D7" s="4" t="n">
        <v>100</v>
      </c>
    </row>
    <row r="8">
      <c r="A8" t="inlineStr">
        <is>
          <t>Diseño y contenido de lanzamiento</t>
        </is>
      </c>
      <c r="B8" t="inlineStr">
        <is>
          <t>Launch design &amp; content</t>
        </is>
      </c>
      <c r="C8" s="4" t="n">
        <v>100</v>
      </c>
      <c r="D8" s="4" t="n">
        <v>500</v>
      </c>
    </row>
    <row r="9">
      <c r="A9" t="inlineStr">
        <is>
          <t>Cumplimiento RGPD: DPD externo (Audidat) + EIPD</t>
        </is>
      </c>
      <c r="B9" t="inlineStr">
        <is>
          <t>GDPR compliance: external DPO (Audidat) + DPIA</t>
        </is>
      </c>
      <c r="C9" s="4" t="n">
        <v>2300</v>
      </c>
      <c r="D9" s="4" t="n">
        <v>2500</v>
      </c>
    </row>
    <row r="10">
      <c r="A10" t="inlineStr">
        <is>
          <t>Constitución de la S.L. + gestoría (sin capital social)</t>
        </is>
      </c>
      <c r="B10" t="inlineStr">
        <is>
          <t>Company incorporation + accountancy (excl. share capital)</t>
        </is>
      </c>
      <c r="C10" s="4" t="n">
        <v>700</v>
      </c>
      <c r="D10" s="4" t="n">
        <v>1100</v>
      </c>
    </row>
    <row r="11">
      <c r="A11" t="inlineStr">
        <is>
          <t>Panel asesor y nutricionistas</t>
        </is>
      </c>
      <c r="B11" t="inlineStr">
        <is>
          <t>Advisory panel &amp; nutritionists</t>
        </is>
      </c>
      <c r="C11" s="4" t="n">
        <v>150</v>
      </c>
      <c r="D11" s="4" t="n">
        <v>600</v>
      </c>
    </row>
    <row r="12">
      <c r="A12" t="inlineStr">
        <is>
          <t>Marketing de lanzamiento</t>
        </is>
      </c>
      <c r="B12" t="inlineStr">
        <is>
          <t>Launch marketing</t>
        </is>
      </c>
      <c r="C12" s="4" t="n">
        <v>100</v>
      </c>
      <c r="D12" s="4" t="n">
        <v>500</v>
      </c>
    </row>
    <row r="13">
      <c r="A13" t="inlineStr">
        <is>
          <t>Subtotal</t>
        </is>
      </c>
      <c r="B13" t="inlineStr">
        <is>
          <t>Subtotal</t>
        </is>
      </c>
      <c r="C13" s="4">
        <f>SUM(C4:C12)</f>
        <v/>
      </c>
      <c r="D13" s="4">
        <f>SUM(D4:D12)</f>
        <v/>
      </c>
    </row>
    <row r="14">
      <c r="A14" t="inlineStr">
        <is>
          <t>Contingencia 10 %</t>
        </is>
      </c>
      <c r="B14" t="inlineStr">
        <is>
          <t>Contingency 10%</t>
        </is>
      </c>
      <c r="C14" s="4">
        <f>ROUND(C13*0.1,0)</f>
        <v/>
      </c>
      <c r="D14" s="4">
        <f>ROUND(D13*0.1,0)</f>
        <v/>
      </c>
    </row>
    <row r="15">
      <c r="A15" s="5" t="inlineStr">
        <is>
          <t>TOTAL</t>
        </is>
      </c>
      <c r="B15" s="5" t="inlineStr">
        <is>
          <t>TOTAL</t>
        </is>
      </c>
      <c r="C15" s="6">
        <f>C13+C14</f>
        <v/>
      </c>
      <c r="D15" s="6">
        <f>D13+D14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8" customWidth="1" min="1" max="1"/>
    <col width="52" customWidth="1" min="2" max="2"/>
    <col width="14" customWidth="1" min="3" max="3"/>
    <col width="14" customWidth="1" min="4" max="4"/>
  </cols>
  <sheetData>
    <row r="1">
      <c r="A1" s="10" t="inlineStr">
        <is>
          <t>NutriSync · 2027 · ene–dic 2027 · 12 meses</t>
        </is>
      </c>
    </row>
    <row r="3" ht="26" customHeight="1">
      <c r="A3" s="3" t="inlineStr">
        <is>
          <t>Concepto (ES)</t>
        </is>
      </c>
      <c r="B3" s="3" t="inlineStr">
        <is>
          <t>Category (EN)</t>
        </is>
      </c>
      <c r="C3" s="3" t="inlineStr">
        <is>
          <t>Mínimo €</t>
        </is>
      </c>
      <c r="D3" s="3" t="inlineStr">
        <is>
          <t>Objetivo €</t>
        </is>
      </c>
    </row>
    <row r="4">
      <c r="A4" t="inlineStr">
        <is>
          <t>Licencias de desarrollo e IA</t>
        </is>
      </c>
      <c r="B4" t="inlineStr">
        <is>
          <t>Development &amp; AI licences</t>
        </is>
      </c>
      <c r="C4" s="4" t="n">
        <v>3300</v>
      </c>
      <c r="D4" s="4" t="n">
        <v>4000</v>
      </c>
    </row>
    <row r="5">
      <c r="A5" t="inlineStr">
        <is>
          <t>Plataforma y datos (escala)</t>
        </is>
      </c>
      <c r="B5" t="inlineStr">
        <is>
          <t>Platform &amp; data (at scale)</t>
        </is>
      </c>
      <c r="C5" s="4" t="n">
        <v>1400</v>
      </c>
      <c r="D5" s="4" t="n">
        <v>2200</v>
      </c>
    </row>
    <row r="6">
      <c r="A6" t="inlineStr">
        <is>
          <t>IA de producto por uso</t>
        </is>
      </c>
      <c r="B6" t="inlineStr">
        <is>
          <t>Product AI usage</t>
        </is>
      </c>
      <c r="C6" s="4" t="n">
        <v>500</v>
      </c>
      <c r="D6" s="4" t="n">
        <v>1500</v>
      </c>
    </row>
    <row r="7">
      <c r="A7" t="inlineStr">
        <is>
          <t>Tiendas</t>
        </is>
      </c>
      <c r="B7" t="inlineStr">
        <is>
          <t>App stores</t>
        </is>
      </c>
      <c r="C7" s="4" t="n">
        <v>100</v>
      </c>
      <c r="D7" s="4" t="n">
        <v>100</v>
      </c>
    </row>
    <row r="8">
      <c r="A8" t="inlineStr">
        <is>
          <t>Diseño y contenido</t>
        </is>
      </c>
      <c r="B8" t="inlineStr">
        <is>
          <t>Design &amp; content</t>
        </is>
      </c>
      <c r="C8" s="4" t="n">
        <v>300</v>
      </c>
      <c r="D8" s="4" t="n">
        <v>1100</v>
      </c>
    </row>
    <row r="9">
      <c r="A9" t="inlineStr">
        <is>
          <t>Cumplimiento (anualidad DPD + revisiones)</t>
        </is>
      </c>
      <c r="B9" t="inlineStr">
        <is>
          <t>Compliance (annual DPO + reviews)</t>
        </is>
      </c>
      <c r="C9" s="4" t="n">
        <v>1500</v>
      </c>
      <c r="D9" s="4" t="n">
        <v>2000</v>
      </c>
    </row>
    <row r="10">
      <c r="A10" t="inlineStr">
        <is>
          <t>Gestoría contable y fiscal</t>
        </is>
      </c>
      <c r="B10" t="inlineStr">
        <is>
          <t>Accounting &amp; tax services</t>
        </is>
      </c>
      <c r="C10" s="4" t="n">
        <v>720</v>
      </c>
      <c r="D10" s="4" t="n">
        <v>1200</v>
      </c>
    </row>
    <row r="11">
      <c r="A11" t="inlineStr">
        <is>
          <t>Panel asesor y nutricionistas</t>
        </is>
      </c>
      <c r="B11" t="inlineStr">
        <is>
          <t>Advisory panel &amp; nutritionists</t>
        </is>
      </c>
      <c r="C11" s="4" t="n">
        <v>300</v>
      </c>
      <c r="D11" s="4" t="n">
        <v>1400</v>
      </c>
    </row>
    <row r="12">
      <c r="A12" t="inlineStr">
        <is>
          <t>Marketing y captación</t>
        </is>
      </c>
      <c r="B12" t="inlineStr">
        <is>
          <t>Marketing &amp; acquisition</t>
        </is>
      </c>
      <c r="C12" s="4" t="n">
        <v>300</v>
      </c>
      <c r="D12" s="4" t="n">
        <v>1300</v>
      </c>
    </row>
    <row r="13">
      <c r="A13" t="inlineStr">
        <is>
          <t>Herramientas de negocio (gestor de claves, Notion, misc.)</t>
        </is>
      </c>
      <c r="B13" t="inlineStr">
        <is>
          <t>Business tools (password manager, Notion, misc.)</t>
        </is>
      </c>
      <c r="C13" s="4" t="n">
        <v>150</v>
      </c>
      <c r="D13" s="4" t="n">
        <v>300</v>
      </c>
    </row>
    <row r="14">
      <c r="A14" t="inlineStr">
        <is>
          <t>Subtotal</t>
        </is>
      </c>
      <c r="B14" t="inlineStr">
        <is>
          <t>Subtotal</t>
        </is>
      </c>
      <c r="C14" s="4">
        <f>SUM(C4:C13)</f>
        <v/>
      </c>
      <c r="D14" s="4">
        <f>SUM(D4:D13)</f>
        <v/>
      </c>
    </row>
    <row r="15">
      <c r="A15" t="inlineStr">
        <is>
          <t>Contingencia 10 %</t>
        </is>
      </c>
      <c r="B15" t="inlineStr">
        <is>
          <t>Contingency 10%</t>
        </is>
      </c>
      <c r="C15" s="4">
        <f>ROUND(C14*0.1,0)</f>
        <v/>
      </c>
      <c r="D15" s="4">
        <f>ROUND(D14*0.1,0)</f>
        <v/>
      </c>
    </row>
    <row r="16">
      <c r="A16" s="5" t="inlineStr">
        <is>
          <t>TOTAL</t>
        </is>
      </c>
      <c r="B16" s="5" t="inlineStr">
        <is>
          <t>TOTAL</t>
        </is>
      </c>
      <c r="C16" s="6">
        <f>C14+C15</f>
        <v/>
      </c>
      <c r="D16" s="6">
        <f>D14+D15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0" t="inlineStr">
        <is>
          <t>Gasto real imputado al proyecto · Actual project-imputed spend (libros de StartUp Admin)</t>
        </is>
      </c>
    </row>
    <row r="3" ht="26" customHeight="1">
      <c r="A3" s="3" t="inlineStr">
        <is>
          <t>Fecha</t>
        </is>
      </c>
      <c r="B3" s="3" t="inlineStr">
        <is>
          <t>Proveedor · Vendor</t>
        </is>
      </c>
      <c r="C3" s="3" t="inlineStr">
        <is>
          <t>Concepto</t>
        </is>
      </c>
      <c r="D3" s="3" t="inlineStr">
        <is>
          <t>Importe original</t>
        </is>
      </c>
      <c r="E3" s="3" t="inlineStr">
        <is>
          <t>€ (tipo BCE del día)</t>
        </is>
      </c>
      <c r="F3" s="3" t="inlineStr">
        <is>
          <t>% imputado</t>
        </is>
      </c>
      <c r="G3" s="3" t="inlineStr">
        <is>
          <t>€ imputado</t>
        </is>
      </c>
    </row>
    <row r="4">
      <c r="A4" t="inlineStr">
        <is>
          <t>2026-07-31</t>
        </is>
      </c>
      <c r="B4" t="inlineStr">
        <is>
          <t>OpenAI (vía Apple)</t>
        </is>
      </c>
      <c r="C4" t="inlineStr">
        <is>
          <t>ChatGPT Pro 20x</t>
        </is>
      </c>
      <c r="D4" t="inlineStr">
        <is>
          <t>229,00 €</t>
        </is>
      </c>
      <c r="E4" s="11" t="n">
        <v>229</v>
      </c>
      <c r="F4" s="12" t="n">
        <v>0.4</v>
      </c>
      <c r="G4" s="11" t="n">
        <v>91.59999999999999</v>
      </c>
    </row>
    <row r="5">
      <c r="A5" t="inlineStr">
        <is>
          <t>2026-08-01</t>
        </is>
      </c>
      <c r="B5" t="inlineStr">
        <is>
          <t>Google</t>
        </is>
      </c>
      <c r="C5" t="inlineStr">
        <is>
          <t>Play Console · alta de cuenta</t>
        </is>
      </c>
      <c r="D5" t="inlineStr">
        <is>
          <t>$25,00</t>
        </is>
      </c>
      <c r="E5" s="11" t="n">
        <v>21.77</v>
      </c>
      <c r="F5" s="12" t="n">
        <v>1</v>
      </c>
      <c r="G5" s="11" t="n">
        <v>21.77</v>
      </c>
    </row>
    <row r="6">
      <c r="A6" t="inlineStr">
        <is>
          <t>2026-08-03</t>
        </is>
      </c>
      <c r="B6" t="inlineStr">
        <is>
          <t>Anthropic</t>
        </is>
      </c>
      <c r="C6" t="inlineStr">
        <is>
          <t>Claude · P0PROMW7-0022</t>
        </is>
      </c>
      <c r="D6" t="inlineStr">
        <is>
          <t>S$70,79</t>
        </is>
      </c>
      <c r="E6" s="11" t="n">
        <v>47.89</v>
      </c>
      <c r="F6" s="12" t="n">
        <v>0.8</v>
      </c>
      <c r="G6" s="11" t="n">
        <v>38.31</v>
      </c>
    </row>
    <row r="7">
      <c r="A7" t="inlineStr">
        <is>
          <t>2026-08-03</t>
        </is>
      </c>
      <c r="B7" t="inlineStr">
        <is>
          <t>Anthropic</t>
        </is>
      </c>
      <c r="C7" t="inlineStr">
        <is>
          <t>Claude · P0PROMW7-0023</t>
        </is>
      </c>
      <c r="D7" t="inlineStr">
        <is>
          <t>S$70,79</t>
        </is>
      </c>
      <c r="E7" s="11" t="n">
        <v>47.89</v>
      </c>
      <c r="F7" s="12" t="n">
        <v>0.8</v>
      </c>
      <c r="G7" s="11" t="n">
        <v>38.31</v>
      </c>
    </row>
    <row r="8">
      <c r="A8" t="inlineStr">
        <is>
          <t>2026-08-03</t>
        </is>
      </c>
      <c r="B8" t="inlineStr">
        <is>
          <t>Anthropic</t>
        </is>
      </c>
      <c r="C8" t="inlineStr">
        <is>
          <t>Claude · P0PROMW7-0024</t>
        </is>
      </c>
      <c r="D8" t="inlineStr">
        <is>
          <t>S$70,79</t>
        </is>
      </c>
      <c r="E8" s="11" t="n">
        <v>47.89</v>
      </c>
      <c r="F8" s="12" t="n">
        <v>0.8</v>
      </c>
      <c r="G8" s="11" t="n">
        <v>38.31</v>
      </c>
    </row>
    <row r="9">
      <c r="A9" t="inlineStr">
        <is>
          <t>2026-08-05</t>
        </is>
      </c>
      <c r="B9" t="inlineStr">
        <is>
          <t>Canva</t>
        </is>
      </c>
      <c r="C9" t="inlineStr">
        <is>
          <t>Canva Pro</t>
        </is>
      </c>
      <c r="D9" t="inlineStr">
        <is>
          <t>S$18,00</t>
        </is>
      </c>
      <c r="E9" s="11" t="n">
        <v>12.16</v>
      </c>
      <c r="F9" s="12" t="n">
        <v>1</v>
      </c>
      <c r="G9" s="11" t="n">
        <v>12.16</v>
      </c>
    </row>
    <row r="10">
      <c r="A10" t="inlineStr">
        <is>
          <t>2026-08-05</t>
        </is>
      </c>
      <c r="B10" t="inlineStr">
        <is>
          <t>Apple</t>
        </is>
      </c>
      <c r="C10" t="inlineStr">
        <is>
          <t>iCloud+ 6 TB</t>
        </is>
      </c>
      <c r="D10" t="inlineStr">
        <is>
          <t>29,99 €</t>
        </is>
      </c>
      <c r="E10" s="11" t="n">
        <v>29.99</v>
      </c>
      <c r="F10" s="12" t="n">
        <v>0.2</v>
      </c>
      <c r="G10" s="11" t="n">
        <v>6</v>
      </c>
    </row>
    <row r="11">
      <c r="A11" t="inlineStr">
        <is>
          <t>2026-08-06</t>
        </is>
      </c>
      <c r="B11" t="inlineStr">
        <is>
          <t>Anthropic</t>
        </is>
      </c>
      <c r="C11" t="inlineStr">
        <is>
          <t>Claude · IVJ90SCQ-0001</t>
        </is>
      </c>
      <c r="D11" t="inlineStr">
        <is>
          <t>$24,80</t>
        </is>
      </c>
      <c r="E11" s="11" t="n">
        <v>21.49</v>
      </c>
      <c r="F11" s="12" t="n">
        <v>0.8</v>
      </c>
      <c r="G11" s="11" t="n">
        <v>17.19</v>
      </c>
    </row>
    <row r="12">
      <c r="A12" t="inlineStr">
        <is>
          <t>2026-08-08</t>
        </is>
      </c>
      <c r="B12" t="inlineStr">
        <is>
          <t>Anthropic</t>
        </is>
      </c>
      <c r="C12" t="inlineStr">
        <is>
          <t>Claude · P0PROMW7-0025 (uso extra)</t>
        </is>
      </c>
      <c r="D12" t="inlineStr">
        <is>
          <t>S$70,79</t>
        </is>
      </c>
      <c r="E12" s="11" t="n">
        <v>47.91</v>
      </c>
      <c r="F12" s="12" t="n">
        <v>0.8</v>
      </c>
      <c r="G12" s="11" t="n">
        <v>38.33</v>
      </c>
    </row>
    <row r="13">
      <c r="A13" t="inlineStr">
        <is>
          <t>2026-08-08</t>
        </is>
      </c>
      <c r="B13" t="inlineStr">
        <is>
          <t>Anthropic</t>
        </is>
      </c>
      <c r="C13" t="inlineStr">
        <is>
          <t>Claude · P0PROMW7-0027 (uso extra)</t>
        </is>
      </c>
      <c r="D13" t="inlineStr">
        <is>
          <t>S$314,60</t>
        </is>
      </c>
      <c r="E13" s="11" t="n">
        <v>212.93</v>
      </c>
      <c r="F13" s="12" t="n">
        <v>0.8</v>
      </c>
      <c r="G13" s="11" t="n">
        <v>170.34</v>
      </c>
    </row>
    <row r="14">
      <c r="A14" t="inlineStr">
        <is>
          <t>2026-08-14</t>
        </is>
      </c>
      <c r="B14" t="inlineStr">
        <is>
          <t>Anthropic</t>
        </is>
      </c>
      <c r="C14" t="inlineStr">
        <is>
          <t>Claude Max 20x · P0PROMW7-0028</t>
        </is>
      </c>
      <c r="D14" t="inlineStr">
        <is>
          <t>S$333,03</t>
        </is>
      </c>
      <c r="E14" s="11" t="n">
        <v>225.26</v>
      </c>
      <c r="F14" s="12" t="n">
        <v>0.8</v>
      </c>
      <c r="G14" s="11" t="n">
        <v>180.21</v>
      </c>
    </row>
    <row r="15">
      <c r="A15" t="inlineStr">
        <is>
          <t>2026-08-28</t>
        </is>
      </c>
      <c r="B15" t="inlineStr">
        <is>
          <t>Canva</t>
        </is>
      </c>
      <c r="C15" t="inlineStr">
        <is>
          <t>Canva Pro</t>
        </is>
      </c>
      <c r="D15" t="inlineStr">
        <is>
          <t>S$18,00</t>
        </is>
      </c>
      <c r="E15" s="11" t="n">
        <v>12.16</v>
      </c>
      <c r="F15" s="12" t="n">
        <v>1</v>
      </c>
      <c r="G15" s="11" t="n">
        <v>12.16</v>
      </c>
    </row>
    <row r="16">
      <c r="A16" t="inlineStr">
        <is>
          <t>2026-08-31</t>
        </is>
      </c>
      <c r="B16" t="inlineStr">
        <is>
          <t>OpenAI (vía Apple)</t>
        </is>
      </c>
      <c r="C16" t="inlineStr">
        <is>
          <t>ChatGPT Pro 20x</t>
        </is>
      </c>
      <c r="D16" t="inlineStr">
        <is>
          <t>229,00 €</t>
        </is>
      </c>
      <c r="E16" s="11" t="n">
        <v>229</v>
      </c>
      <c r="F16" s="12" t="n">
        <v>0.4</v>
      </c>
      <c r="G16" s="11" t="n">
        <v>91.59999999999999</v>
      </c>
    </row>
    <row r="17">
      <c r="A17" t="inlineStr">
        <is>
          <t>2026-09-05</t>
        </is>
      </c>
      <c r="B17" t="inlineStr">
        <is>
          <t>Apple</t>
        </is>
      </c>
      <c r="C17" t="inlineStr">
        <is>
          <t>iCloud+ 6 TB</t>
        </is>
      </c>
      <c r="D17" t="inlineStr">
        <is>
          <t>29,99 €</t>
        </is>
      </c>
      <c r="E17" s="11" t="n">
        <v>29.99</v>
      </c>
      <c r="F17" s="12" t="n">
        <v>0.2</v>
      </c>
      <c r="G17" s="11" t="n">
        <v>6</v>
      </c>
    </row>
    <row r="18">
      <c r="A18" t="inlineStr"/>
      <c r="B18" t="inlineStr"/>
      <c r="C18" t="inlineStr"/>
      <c r="D18" t="inlineStr"/>
      <c r="E18" t="inlineStr"/>
      <c r="F18" s="5" t="inlineStr">
        <is>
          <t>TOTAL</t>
        </is>
      </c>
      <c r="G18" s="13">
        <f>SUM(G4:G17)</f>
        <v/>
      </c>
    </row>
    <row r="20">
      <c r="A20" s="5" t="inlineStr">
        <is>
          <t>Pendiente de factura — no asentado / Awaiting invoice — not booked</t>
        </is>
      </c>
    </row>
    <row r="21">
      <c r="A21" t="inlineStr">
        <is>
          <t>· Supabase Pro + PITR (~125 $/mes · la organización es de Pilar)</t>
        </is>
      </c>
    </row>
    <row r="22">
      <c r="A22" t="inlineStr">
        <is>
          <t>· GitHub Pro (~4 $/mes · la factura va a la cuenta de outlook)</t>
        </is>
      </c>
    </row>
    <row r="23">
      <c r="A23" t="inlineStr">
        <is>
          <t>· IONOS · correo y dominio (factura de Pilar)</t>
        </is>
      </c>
    </row>
    <row r="24">
      <c r="A24" t="inlineStr">
        <is>
          <t>· Apple Developer 99 €/año (19-jul · confirmar el PDF)</t>
        </is>
      </c>
    </row>
    <row r="25">
      <c r="A25" t="inlineStr">
        <is>
          <t>· Audidat · DPD + RGPD 1.500 €/año — comprometido, pendiente de firma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60" customWidth="1" min="3" max="3"/>
  </cols>
  <sheetData>
    <row r="1">
      <c r="A1" s="10" t="inlineStr">
        <is>
          <t>Balance de situación pro-forma · Pro-forma balance sheet · 6-sep-2026 (S.L. en constitución)</t>
        </is>
      </c>
    </row>
    <row r="2">
      <c r="A2" s="14" t="inlineStr">
        <is>
          <t>La sociedad aún no está constituida: no hay cuenta bancaria ni capital desembolsado, y todo el gasto lo ha adelantado un socio.</t>
        </is>
      </c>
    </row>
    <row r="4" ht="26" customHeight="1">
      <c r="A4" s="3" t="inlineStr">
        <is>
          <t>Concepto · Item</t>
        </is>
      </c>
      <c r="B4" s="3" t="inlineStr">
        <is>
          <t>€</t>
        </is>
      </c>
      <c r="C4" s="3" t="inlineStr">
        <is>
          <t>Nota · Note</t>
        </is>
      </c>
    </row>
    <row r="5">
      <c r="A5" s="15" t="inlineStr">
        <is>
          <t>ACTIVO · ASSETS</t>
        </is>
      </c>
      <c r="B5" t="inlineStr"/>
      <c r="C5" s="9" t="inlineStr"/>
    </row>
    <row r="6">
      <c r="A6" s="9" t="inlineStr">
        <is>
          <t>Tesorería · Cash</t>
        </is>
      </c>
      <c r="B6" t="inlineStr">
        <is>
          <t>0</t>
        </is>
      </c>
      <c r="C6" s="9" t="inlineStr">
        <is>
          <t>Sin cuenta societaria hasta la constitución / no company account yet</t>
        </is>
      </c>
    </row>
    <row r="7">
      <c r="A7" s="9" t="inlineStr">
        <is>
          <t>Inmovilizado intangible en curso · Capitalised development</t>
        </is>
      </c>
      <c r="B7" t="inlineStr">
        <is>
          <t>0</t>
        </is>
      </c>
      <c r="C7" s="9" t="inlineStr">
        <is>
          <t>Todo llevado a resultado (IAS 38: nada capitaliza sin firma) / all expensed</t>
        </is>
      </c>
    </row>
    <row r="8">
      <c r="A8" s="9" t="inlineStr">
        <is>
          <t>Producto construido — coste de reposición, fuera de balance · Product built (replacement cost, off-balance)</t>
        </is>
      </c>
      <c r="B8" t="inlineStr">
        <is>
          <t>20.000 – 45.000</t>
        </is>
      </c>
      <c r="C8" s="9" t="inlineStr">
        <is>
          <t>App iOS/Android en tiendas, PWA, dos webs, backend y ERP interno</t>
        </is>
      </c>
    </row>
    <row r="9">
      <c r="A9" s="9" t="inlineStr">
        <is>
          <t>TOTAL ACTIVO CONTABLE · TOTAL BOOKED ASSETS</t>
        </is>
      </c>
      <c r="B9" t="inlineStr">
        <is>
          <t>0</t>
        </is>
      </c>
      <c r="C9" s="9" t="inlineStr"/>
    </row>
    <row r="10">
      <c r="A10" s="9" t="inlineStr"/>
      <c r="B10" t="inlineStr"/>
      <c r="C10" s="9" t="inlineStr"/>
    </row>
    <row r="11">
      <c r="A11" s="15" t="inlineStr">
        <is>
          <t>PASIVO · LIABILITIES</t>
        </is>
      </c>
      <c r="B11" t="inlineStr"/>
      <c r="C11" s="9" t="inlineStr"/>
    </row>
    <row r="12">
      <c r="A12" s="9" t="inlineStr">
        <is>
          <t>Deuda con socios, cta. 2300 · Founder advances</t>
        </is>
      </c>
      <c r="B12" t="inlineStr">
        <is>
          <t>762,29</t>
        </is>
      </c>
      <c r="C12" s="9" t="inlineStr">
        <is>
          <t>Recibos pagados con tarjeta personal / paid on a founder's card</t>
        </is>
      </c>
    </row>
    <row r="13">
      <c r="A13" s="9" t="inlineStr">
        <is>
          <t>Compromisos no contabilizados · Committed, not booked</t>
        </is>
      </c>
      <c r="B13" t="inlineStr">
        <is>
          <t>1.500</t>
        </is>
      </c>
      <c r="C13" s="9" t="inlineStr">
        <is>
          <t>Audidat DPD+RGPD anual, al firmar / on signature</t>
        </is>
      </c>
    </row>
    <row r="14">
      <c r="A14" s="9" t="inlineStr">
        <is>
          <t>Deuda financiera · Financial debt</t>
        </is>
      </c>
      <c r="B14" t="inlineStr">
        <is>
          <t>0</t>
        </is>
      </c>
      <c r="C14" s="9" t="inlineStr">
        <is>
          <t>Ninguna / none</t>
        </is>
      </c>
    </row>
    <row r="15">
      <c r="A15" s="9" t="inlineStr"/>
      <c r="B15" t="inlineStr"/>
      <c r="C15" s="9" t="inlineStr"/>
    </row>
    <row r="16">
      <c r="A16" s="15" t="inlineStr">
        <is>
          <t>PATRIMONIO NETO · EQUITY</t>
        </is>
      </c>
      <c r="B16" t="inlineStr"/>
      <c r="C16" s="9" t="inlineStr"/>
    </row>
    <row r="17">
      <c r="A17" s="9" t="inlineStr">
        <is>
          <t>Capital social · Share capital</t>
        </is>
      </c>
      <c r="B17" t="inlineStr">
        <is>
          <t>0</t>
        </is>
      </c>
      <c r="C17" s="9" t="inlineStr">
        <is>
          <t>3.000 € previstos al constituir / planned at incorporation</t>
        </is>
      </c>
    </row>
    <row r="18">
      <c r="A18" s="9" t="inlineStr">
        <is>
          <t>Resultados acumulados · Accumulated result</t>
        </is>
      </c>
      <c r="B18" t="inlineStr">
        <is>
          <t>-762,29</t>
        </is>
      </c>
      <c r="C18" s="9" t="inlineStr">
        <is>
          <t>Gasto imputado a 6-sep-2026 / imputed spend to date</t>
        </is>
      </c>
    </row>
    <row r="19">
      <c r="A19" s="9" t="inlineStr">
        <is>
          <t>Aportación en especie de fundadoras y fundador · Founders' in-kind contribution</t>
        </is>
      </c>
      <c r="B19" t="inlineStr">
        <is>
          <t>20.000 – 45.000</t>
        </is>
      </c>
      <c r="C19" s="9" t="inlineStr">
        <is>
          <t>No contabilizada; ver «Servicios profesionales» / not booked</t>
        </is>
      </c>
    </row>
  </sheetData>
  <mergeCells count="1"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2" customWidth="1" min="3" max="3"/>
    <col width="26" customWidth="1" min="4" max="4"/>
    <col width="46" customWidth="1" min="5" max="5"/>
  </cols>
  <sheetData>
    <row r="1">
      <c r="A1" s="10" t="inlineStr">
        <is>
          <t>Servicios profesionales · Professional services (fuera de la petición de caja / outside the cash ask)</t>
        </is>
      </c>
    </row>
    <row r="3" ht="26" customHeight="1">
      <c r="A3" s="3" t="inlineStr">
        <is>
          <t>Persona / rol</t>
        </is>
      </c>
      <c r="B3" s="3" t="inlineStr">
        <is>
          <t>Aportado hasta hoy</t>
        </is>
      </c>
      <c r="C3" s="3" t="inlineStr">
        <is>
          <t>Valoración €</t>
        </is>
      </c>
      <c r="D3" s="3" t="inlineStr">
        <is>
          <t>Si se financiara (2027)</t>
        </is>
      </c>
      <c r="E3" s="3" t="inlineStr">
        <is>
          <t>Nota</t>
        </is>
      </c>
    </row>
    <row r="4">
      <c r="A4" s="9" t="inlineStr">
        <is>
          <t>Juanjo · producto e ingeniería</t>
        </is>
      </c>
      <c r="B4" s="9" t="inlineStr">
        <is>
          <t>≈ 330–400 h (jul–sep; 124 h de julio declaradas)</t>
        </is>
      </c>
      <c r="C4" s="9" t="inlineStr">
        <is>
          <t>20.000 – 45.000 €</t>
        </is>
      </c>
      <c r="D4" s="9" t="inlineStr">
        <is>
          <t>Dedicación reforzada</t>
        </is>
      </c>
      <c r="E4" s="9" t="inlineStr">
        <is>
          <t>A 60–111 €/h (tarifa declarada en la hoja de costes)</t>
        </is>
      </c>
    </row>
    <row r="5">
      <c r="A5" s="9" t="inlineStr">
        <is>
          <t>Lucía · diseño</t>
        </is>
      </c>
      <c r="B5" s="9" t="inlineStr">
        <is>
          <t>Figma de la app y de la web V2, Design System</t>
        </is>
      </c>
      <c r="C5" s="9" t="inlineStr">
        <is>
          <t>Pendiente de horas</t>
        </is>
      </c>
      <c r="D5" s="9" t="inlineStr">
        <is>
          <t>Diseño por proyecto</t>
        </is>
      </c>
      <c r="E5" s="9" t="inlineStr">
        <is>
          <t>Horas por declarar</t>
        </is>
      </c>
    </row>
    <row r="6">
      <c r="A6" s="9" t="inlineStr">
        <is>
          <t>Pilar · deontología y cumplimiento</t>
        </is>
      </c>
      <c r="B6" s="9" t="inlineStr">
        <is>
          <t>Guías clínicas, líneas rojas, RGPD</t>
        </is>
      </c>
      <c r="C6" s="9" t="inlineStr">
        <is>
          <t>Pendiente de horas</t>
        </is>
      </c>
      <c r="D6" s="9" t="inlineStr">
        <is>
          <t>Dirección clínica</t>
        </is>
      </c>
      <c r="E6" s="9" t="inlineStr">
        <is>
          <t>Horas por declarar</t>
        </is>
      </c>
    </row>
    <row r="7">
      <c r="A7" s="9" t="inlineStr">
        <is>
          <t>Mapi · marketing</t>
        </is>
      </c>
      <c r="B7" s="9" t="inlineStr">
        <is>
          <t>Contenido y comunidad</t>
        </is>
      </c>
      <c r="C7" s="9" t="inlineStr">
        <is>
          <t>Pendiente de horas</t>
        </is>
      </c>
      <c r="D7" s="9" t="inlineStr">
        <is>
          <t>Marketing por proyecto</t>
        </is>
      </c>
      <c r="E7" s="9" t="inlineStr">
        <is>
          <t>Horas por declarar</t>
        </is>
      </c>
    </row>
    <row r="8">
      <c r="A8" s="9" t="inlineStr">
        <is>
          <t>Constanza · nutrición</t>
        </is>
      </c>
      <c r="B8" s="9" t="inlineStr">
        <is>
          <t>Scoring por fase del ciclo, umbral de confianza</t>
        </is>
      </c>
      <c r="C8" s="9" t="inlineStr">
        <is>
          <t>Pendiente de horas</t>
        </is>
      </c>
      <c r="D8" s="9" t="inlineStr">
        <is>
          <t>Honorarios del panel</t>
        </is>
      </c>
      <c r="E8" s="9" t="inlineStr">
        <is>
          <t>Juicio clínico, no ingeniería</t>
        </is>
      </c>
    </row>
    <row r="9">
      <c r="A9" s="9" t="inlineStr">
        <is>
          <t>Panel asesor y nutricionistas</t>
        </is>
      </c>
      <c r="B9" s="9" t="inlineStr">
        <is>
          <t>—</t>
        </is>
      </c>
      <c r="C9" s="9" t="inlineStr">
        <is>
          <t>—</t>
        </is>
      </c>
      <c r="D9" s="9" t="inlineStr">
        <is>
          <t>300 – 1.400 €</t>
        </is>
      </c>
      <c r="E9" s="9" t="inlineStr">
        <is>
          <t>Ya presupuestado dentro de la petición / already inside the 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2026-09-06T17:34:06Z</dcterms:created>
  <dcterms:modified xmlns:dcterms="http://purl.org/dc/terms/" xmlns:xsi="http://www.w3.org/2001/XMLSchema-instance" xsi:type="dcterms:W3CDTF">2026-09-06T17:34:06Z</dcterms:modified>
</cp:coreProperties>
</file>