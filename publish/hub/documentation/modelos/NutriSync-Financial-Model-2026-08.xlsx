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ilargonzalez/Downloads/"/>
    </mc:Choice>
  </mc:AlternateContent>
  <xr:revisionPtr revIDLastSave="0" documentId="13_ncr:1_{7AE93415-009E-234B-B2C6-B016CD5131F8}" xr6:coauthVersionLast="47" xr6:coauthVersionMax="47" xr10:uidLastSave="{00000000-0000-0000-0000-000000000000}"/>
  <bookViews>
    <workbookView xWindow="9580" yWindow="660" windowWidth="19820" windowHeight="17220" tabRatio="500" activeTab="1" xr2:uid="{00000000-000D-0000-FFFF-FFFF00000000}"/>
  </bookViews>
  <sheets>
    <sheet name="Assumptions" sheetId="1" r:id="rId1"/>
    <sheet name="Conservative" sheetId="2" r:id="rId2"/>
    <sheet name="Realistic" sheetId="3" r:id="rId3"/>
    <sheet name="Ambitious" sheetId="4" r:id="rId4"/>
    <sheet name="Summary" sheetId="5" r:id="rId5"/>
    <sheet name="Sensitivit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4" l="1"/>
  <c r="B53" i="3"/>
  <c r="B52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AN47" i="3" s="1"/>
  <c r="Y47" i="3"/>
  <c r="X47" i="3"/>
  <c r="W47" i="3"/>
  <c r="V47" i="3"/>
  <c r="U47" i="3"/>
  <c r="T47" i="3"/>
  <c r="S47" i="3"/>
  <c r="R47" i="3"/>
  <c r="Q47" i="3"/>
  <c r="P47" i="3"/>
  <c r="O47" i="3"/>
  <c r="N47" i="3"/>
  <c r="AM47" i="3" s="1"/>
  <c r="M47" i="3"/>
  <c r="L47" i="3"/>
  <c r="K47" i="3"/>
  <c r="J47" i="3"/>
  <c r="I47" i="3"/>
  <c r="H47" i="3"/>
  <c r="G47" i="3"/>
  <c r="F47" i="3"/>
  <c r="E47" i="3"/>
  <c r="D47" i="3"/>
  <c r="C47" i="3"/>
  <c r="B47" i="3"/>
  <c r="AL47" i="3" s="1"/>
  <c r="AK41" i="3"/>
  <c r="AJ41" i="3"/>
  <c r="AI41" i="3"/>
  <c r="AH41" i="3"/>
  <c r="AG41" i="3"/>
  <c r="AF41" i="3"/>
  <c r="AE41" i="3"/>
  <c r="AD41" i="3"/>
  <c r="AC41" i="3"/>
  <c r="AB41" i="3"/>
  <c r="AA41" i="3"/>
  <c r="Z41" i="3"/>
  <c r="AN41" i="3" s="1"/>
  <c r="Y41" i="3"/>
  <c r="X41" i="3"/>
  <c r="W41" i="3"/>
  <c r="V41" i="3"/>
  <c r="U41" i="3"/>
  <c r="T41" i="3"/>
  <c r="S41" i="3"/>
  <c r="R41" i="3"/>
  <c r="Q41" i="3"/>
  <c r="P41" i="3"/>
  <c r="O41" i="3"/>
  <c r="N41" i="3"/>
  <c r="AM41" i="3" s="1"/>
  <c r="M41" i="3"/>
  <c r="L41" i="3"/>
  <c r="K41" i="3"/>
  <c r="J41" i="3"/>
  <c r="I41" i="3"/>
  <c r="H41" i="3"/>
  <c r="G41" i="3"/>
  <c r="F41" i="3"/>
  <c r="E41" i="3"/>
  <c r="D41" i="3"/>
  <c r="C41" i="3"/>
  <c r="B41" i="3"/>
  <c r="AL41" i="3" s="1"/>
  <c r="AK40" i="3"/>
  <c r="AJ40" i="3"/>
  <c r="AI40" i="3"/>
  <c r="AH40" i="3"/>
  <c r="AG40" i="3"/>
  <c r="AF40" i="3"/>
  <c r="AE40" i="3"/>
  <c r="AD40" i="3"/>
  <c r="AC40" i="3"/>
  <c r="AB40" i="3"/>
  <c r="AA40" i="3"/>
  <c r="Z40" i="3"/>
  <c r="AN40" i="3" s="1"/>
  <c r="Y40" i="3"/>
  <c r="X40" i="3"/>
  <c r="W40" i="3"/>
  <c r="V40" i="3"/>
  <c r="U40" i="3"/>
  <c r="T40" i="3"/>
  <c r="S40" i="3"/>
  <c r="R40" i="3"/>
  <c r="Q40" i="3"/>
  <c r="P40" i="3"/>
  <c r="O40" i="3"/>
  <c r="N40" i="3"/>
  <c r="AM40" i="3" s="1"/>
  <c r="M40" i="3"/>
  <c r="L40" i="3"/>
  <c r="K40" i="3"/>
  <c r="J40" i="3"/>
  <c r="I40" i="3"/>
  <c r="H40" i="3"/>
  <c r="G40" i="3"/>
  <c r="F40" i="3"/>
  <c r="E40" i="3"/>
  <c r="D40" i="3"/>
  <c r="C40" i="3"/>
  <c r="B40" i="3"/>
  <c r="AL40" i="3" s="1"/>
  <c r="AK39" i="3"/>
  <c r="AJ39" i="3"/>
  <c r="AI39" i="3"/>
  <c r="AH39" i="3"/>
  <c r="AG39" i="3"/>
  <c r="AF39" i="3"/>
  <c r="AE39" i="3"/>
  <c r="AD39" i="3"/>
  <c r="AC39" i="3"/>
  <c r="AB39" i="3"/>
  <c r="AA39" i="3"/>
  <c r="Z39" i="3"/>
  <c r="AN39" i="3" s="1"/>
  <c r="Y39" i="3"/>
  <c r="X39" i="3"/>
  <c r="W39" i="3"/>
  <c r="V39" i="3"/>
  <c r="U39" i="3"/>
  <c r="T39" i="3"/>
  <c r="S39" i="3"/>
  <c r="R39" i="3"/>
  <c r="Q39" i="3"/>
  <c r="P39" i="3"/>
  <c r="O39" i="3"/>
  <c r="N39" i="3"/>
  <c r="AM39" i="3" s="1"/>
  <c r="M39" i="3"/>
  <c r="L39" i="3"/>
  <c r="K39" i="3"/>
  <c r="J39" i="3"/>
  <c r="I39" i="3"/>
  <c r="H39" i="3"/>
  <c r="G39" i="3"/>
  <c r="F39" i="3"/>
  <c r="E39" i="3"/>
  <c r="D39" i="3"/>
  <c r="C39" i="3"/>
  <c r="B39" i="3"/>
  <c r="AL39" i="3" s="1"/>
  <c r="AK38" i="3"/>
  <c r="AJ38" i="3"/>
  <c r="AI38" i="3"/>
  <c r="AH38" i="3"/>
  <c r="AG38" i="3"/>
  <c r="AF38" i="3"/>
  <c r="AE38" i="3"/>
  <c r="AD38" i="3"/>
  <c r="AC38" i="3"/>
  <c r="AB38" i="3"/>
  <c r="AA38" i="3"/>
  <c r="Z38" i="3"/>
  <c r="AN38" i="3" s="1"/>
  <c r="Y38" i="3"/>
  <c r="X38" i="3"/>
  <c r="W38" i="3"/>
  <c r="V38" i="3"/>
  <c r="U38" i="3"/>
  <c r="T38" i="3"/>
  <c r="S38" i="3"/>
  <c r="R38" i="3"/>
  <c r="Q38" i="3"/>
  <c r="P38" i="3"/>
  <c r="O38" i="3"/>
  <c r="N38" i="3"/>
  <c r="AM38" i="3" s="1"/>
  <c r="M38" i="3"/>
  <c r="L38" i="3"/>
  <c r="K38" i="3"/>
  <c r="J38" i="3"/>
  <c r="I38" i="3"/>
  <c r="H38" i="3"/>
  <c r="G38" i="3"/>
  <c r="F38" i="3"/>
  <c r="E38" i="3"/>
  <c r="D38" i="3"/>
  <c r="C38" i="3"/>
  <c r="B38" i="3"/>
  <c r="AL38" i="3" s="1"/>
  <c r="AK37" i="3"/>
  <c r="AJ37" i="3"/>
  <c r="AI37" i="3"/>
  <c r="AH37" i="3"/>
  <c r="AG37" i="3"/>
  <c r="AF37" i="3"/>
  <c r="AE37" i="3"/>
  <c r="AD37" i="3"/>
  <c r="AC37" i="3"/>
  <c r="AB37" i="3"/>
  <c r="AA37" i="3"/>
  <c r="Z37" i="3"/>
  <c r="AN37" i="3" s="1"/>
  <c r="Y37" i="3"/>
  <c r="X37" i="3"/>
  <c r="W37" i="3"/>
  <c r="V37" i="3"/>
  <c r="U37" i="3"/>
  <c r="T37" i="3"/>
  <c r="S37" i="3"/>
  <c r="R37" i="3"/>
  <c r="Q37" i="3"/>
  <c r="P37" i="3"/>
  <c r="O37" i="3"/>
  <c r="N37" i="3"/>
  <c r="AM37" i="3" s="1"/>
  <c r="M37" i="3"/>
  <c r="L37" i="3"/>
  <c r="K37" i="3"/>
  <c r="J37" i="3"/>
  <c r="I37" i="3"/>
  <c r="H37" i="3"/>
  <c r="G37" i="3"/>
  <c r="F37" i="3"/>
  <c r="E37" i="3"/>
  <c r="D37" i="3"/>
  <c r="C37" i="3"/>
  <c r="B37" i="3"/>
  <c r="AL37" i="3" s="1"/>
  <c r="AK36" i="3"/>
  <c r="AJ36" i="3"/>
  <c r="AI36" i="3"/>
  <c r="AH36" i="3"/>
  <c r="AG36" i="3"/>
  <c r="AF36" i="3"/>
  <c r="AE36" i="3"/>
  <c r="AD36" i="3"/>
  <c r="AC36" i="3"/>
  <c r="AB36" i="3"/>
  <c r="AA36" i="3"/>
  <c r="Z36" i="3"/>
  <c r="AN36" i="3" s="1"/>
  <c r="Y36" i="3"/>
  <c r="X36" i="3"/>
  <c r="W36" i="3"/>
  <c r="V36" i="3"/>
  <c r="U36" i="3"/>
  <c r="T36" i="3"/>
  <c r="S36" i="3"/>
  <c r="R36" i="3"/>
  <c r="Q36" i="3"/>
  <c r="P36" i="3"/>
  <c r="O36" i="3"/>
  <c r="N36" i="3"/>
  <c r="AM36" i="3" s="1"/>
  <c r="M36" i="3"/>
  <c r="L36" i="3"/>
  <c r="K36" i="3"/>
  <c r="J36" i="3"/>
  <c r="I36" i="3"/>
  <c r="H36" i="3"/>
  <c r="G36" i="3"/>
  <c r="F36" i="3"/>
  <c r="E36" i="3"/>
  <c r="D36" i="3"/>
  <c r="C36" i="3"/>
  <c r="B36" i="3"/>
  <c r="AL36" i="3" s="1"/>
  <c r="AK35" i="3"/>
  <c r="AJ35" i="3"/>
  <c r="AI35" i="3"/>
  <c r="AH35" i="3"/>
  <c r="AG35" i="3"/>
  <c r="AF35" i="3"/>
  <c r="AE35" i="3"/>
  <c r="AD35" i="3"/>
  <c r="AC35" i="3"/>
  <c r="AB35" i="3"/>
  <c r="AA35" i="3"/>
  <c r="Z35" i="3"/>
  <c r="AN35" i="3" s="1"/>
  <c r="Y35" i="3"/>
  <c r="X35" i="3"/>
  <c r="W35" i="3"/>
  <c r="V35" i="3"/>
  <c r="U35" i="3"/>
  <c r="T35" i="3"/>
  <c r="S35" i="3"/>
  <c r="R35" i="3"/>
  <c r="Q35" i="3"/>
  <c r="P35" i="3"/>
  <c r="O35" i="3"/>
  <c r="N35" i="3"/>
  <c r="AM35" i="3" s="1"/>
  <c r="M35" i="3"/>
  <c r="L35" i="3"/>
  <c r="K35" i="3"/>
  <c r="J35" i="3"/>
  <c r="I35" i="3"/>
  <c r="H35" i="3"/>
  <c r="G35" i="3"/>
  <c r="F35" i="3"/>
  <c r="E35" i="3"/>
  <c r="D35" i="3"/>
  <c r="C35" i="3"/>
  <c r="B35" i="3"/>
  <c r="AL35" i="3" s="1"/>
  <c r="AK34" i="3"/>
  <c r="AJ34" i="3"/>
  <c r="AI34" i="3"/>
  <c r="AH34" i="3"/>
  <c r="AG34" i="3"/>
  <c r="AF34" i="3"/>
  <c r="AE34" i="3"/>
  <c r="AD34" i="3"/>
  <c r="AC34" i="3"/>
  <c r="AB34" i="3"/>
  <c r="AA34" i="3"/>
  <c r="Z34" i="3"/>
  <c r="AN34" i="3" s="1"/>
  <c r="Y34" i="3"/>
  <c r="X34" i="3"/>
  <c r="W34" i="3"/>
  <c r="V34" i="3"/>
  <c r="U34" i="3"/>
  <c r="T34" i="3"/>
  <c r="S34" i="3"/>
  <c r="R34" i="3"/>
  <c r="Q34" i="3"/>
  <c r="P34" i="3"/>
  <c r="O34" i="3"/>
  <c r="N34" i="3"/>
  <c r="AM34" i="3" s="1"/>
  <c r="M34" i="3"/>
  <c r="L34" i="3"/>
  <c r="K34" i="3"/>
  <c r="J34" i="3"/>
  <c r="I34" i="3"/>
  <c r="H34" i="3"/>
  <c r="G34" i="3"/>
  <c r="F34" i="3"/>
  <c r="AL34" i="3" s="1"/>
  <c r="E34" i="3"/>
  <c r="D34" i="3"/>
  <c r="C34" i="3"/>
  <c r="B34" i="3"/>
  <c r="C33" i="3"/>
  <c r="B33" i="3"/>
  <c r="F32" i="3"/>
  <c r="E32" i="3"/>
  <c r="D32" i="3"/>
  <c r="C32" i="3"/>
  <c r="B32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AN23" i="3" s="1"/>
  <c r="Y23" i="3"/>
  <c r="X23" i="3"/>
  <c r="W23" i="3"/>
  <c r="V23" i="3"/>
  <c r="U23" i="3"/>
  <c r="T23" i="3"/>
  <c r="S23" i="3"/>
  <c r="R23" i="3"/>
  <c r="Q23" i="3"/>
  <c r="P23" i="3"/>
  <c r="O23" i="3"/>
  <c r="N23" i="3"/>
  <c r="AM23" i="3" s="1"/>
  <c r="M23" i="3"/>
  <c r="L23" i="3"/>
  <c r="K23" i="3"/>
  <c r="J23" i="3"/>
  <c r="I23" i="3"/>
  <c r="H23" i="3"/>
  <c r="G23" i="3"/>
  <c r="F23" i="3"/>
  <c r="E23" i="3"/>
  <c r="D23" i="3"/>
  <c r="C23" i="3"/>
  <c r="B23" i="3"/>
  <c r="AL23" i="3" s="1"/>
  <c r="G22" i="3"/>
  <c r="F22" i="3"/>
  <c r="E22" i="3"/>
  <c r="D22" i="3"/>
  <c r="C22" i="3"/>
  <c r="B22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AN21" i="3" s="1"/>
  <c r="Y21" i="3"/>
  <c r="X21" i="3"/>
  <c r="W21" i="3"/>
  <c r="V21" i="3"/>
  <c r="U21" i="3"/>
  <c r="T21" i="3"/>
  <c r="S21" i="3"/>
  <c r="R21" i="3"/>
  <c r="Q21" i="3"/>
  <c r="P21" i="3"/>
  <c r="O21" i="3"/>
  <c r="N21" i="3"/>
  <c r="AM21" i="3" s="1"/>
  <c r="M21" i="3"/>
  <c r="L21" i="3"/>
  <c r="K21" i="3"/>
  <c r="J21" i="3"/>
  <c r="I21" i="3"/>
  <c r="H21" i="3"/>
  <c r="G21" i="3"/>
  <c r="F21" i="3"/>
  <c r="E21" i="3"/>
  <c r="D21" i="3"/>
  <c r="C21" i="3"/>
  <c r="B21" i="3"/>
  <c r="AL21" i="3" s="1"/>
  <c r="G20" i="3"/>
  <c r="G31" i="3" s="1"/>
  <c r="F20" i="3"/>
  <c r="F31" i="3" s="1"/>
  <c r="E20" i="3"/>
  <c r="E31" i="3" s="1"/>
  <c r="D20" i="3"/>
  <c r="D31" i="3" s="1"/>
  <c r="C20" i="3"/>
  <c r="C31" i="3" s="1"/>
  <c r="B20" i="3"/>
  <c r="M19" i="3"/>
  <c r="L19" i="3"/>
  <c r="K19" i="3"/>
  <c r="J19" i="3"/>
  <c r="I19" i="3"/>
  <c r="H19" i="3"/>
  <c r="G19" i="3"/>
  <c r="F19" i="3"/>
  <c r="E19" i="3"/>
  <c r="D19" i="3"/>
  <c r="C19" i="3"/>
  <c r="B19" i="3"/>
  <c r="AL19" i="3" s="1"/>
  <c r="G14" i="3"/>
  <c r="H14" i="3" s="1"/>
  <c r="F14" i="3"/>
  <c r="E14" i="3"/>
  <c r="D14" i="3"/>
  <c r="C14" i="3"/>
  <c r="B14" i="3"/>
  <c r="G13" i="3"/>
  <c r="H13" i="3" s="1"/>
  <c r="F13" i="3"/>
  <c r="E13" i="3"/>
  <c r="D13" i="3"/>
  <c r="C13" i="3"/>
  <c r="B13" i="3"/>
  <c r="M12" i="3"/>
  <c r="AL12" i="3" s="1"/>
  <c r="L12" i="3"/>
  <c r="K12" i="3"/>
  <c r="J12" i="3"/>
  <c r="I12" i="3"/>
  <c r="H12" i="3"/>
  <c r="G12" i="3"/>
  <c r="F12" i="3"/>
  <c r="E12" i="3"/>
  <c r="D12" i="3"/>
  <c r="C12" i="3"/>
  <c r="B12" i="3"/>
  <c r="M10" i="3"/>
  <c r="L10" i="3"/>
  <c r="K10" i="3"/>
  <c r="J10" i="3"/>
  <c r="I10" i="3"/>
  <c r="H10" i="3"/>
  <c r="G10" i="3"/>
  <c r="F10" i="3"/>
  <c r="E10" i="3"/>
  <c r="D10" i="3"/>
  <c r="C10" i="3"/>
  <c r="B10" i="3"/>
  <c r="AL10" i="3" s="1"/>
  <c r="AK8" i="3"/>
  <c r="AJ8" i="3"/>
  <c r="AJ9" i="3" s="1"/>
  <c r="AI8" i="3"/>
  <c r="AI9" i="3" s="1"/>
  <c r="AH8" i="3"/>
  <c r="AH9" i="3" s="1"/>
  <c r="AG8" i="3"/>
  <c r="AG9" i="3" s="1"/>
  <c r="AF8" i="3"/>
  <c r="AF9" i="3" s="1"/>
  <c r="AE8" i="3"/>
  <c r="AE9" i="3" s="1"/>
  <c r="AD8" i="3"/>
  <c r="AD9" i="3" s="1"/>
  <c r="AC8" i="3"/>
  <c r="AC9" i="3" s="1"/>
  <c r="AB8" i="3"/>
  <c r="AB9" i="3" s="1"/>
  <c r="AA8" i="3"/>
  <c r="AA9" i="3" s="1"/>
  <c r="Z8" i="3"/>
  <c r="Z9" i="3" s="1"/>
  <c r="Y8" i="3"/>
  <c r="X8" i="3"/>
  <c r="X9" i="3" s="1"/>
  <c r="W8" i="3"/>
  <c r="W9" i="3" s="1"/>
  <c r="V8" i="3"/>
  <c r="V9" i="3" s="1"/>
  <c r="U8" i="3"/>
  <c r="U9" i="3" s="1"/>
  <c r="T8" i="3"/>
  <c r="T9" i="3" s="1"/>
  <c r="S8" i="3"/>
  <c r="S9" i="3" s="1"/>
  <c r="R8" i="3"/>
  <c r="R9" i="3" s="1"/>
  <c r="Q8" i="3"/>
  <c r="Q9" i="3" s="1"/>
  <c r="P8" i="3"/>
  <c r="P9" i="3" s="1"/>
  <c r="O8" i="3"/>
  <c r="O9" i="3" s="1"/>
  <c r="N8" i="3"/>
  <c r="N9" i="3" s="1"/>
  <c r="M8" i="3"/>
  <c r="L8" i="3"/>
  <c r="L9" i="3" s="1"/>
  <c r="K8" i="3"/>
  <c r="K9" i="3" s="1"/>
  <c r="J8" i="3"/>
  <c r="J9" i="3" s="1"/>
  <c r="I8" i="3"/>
  <c r="I9" i="3" s="1"/>
  <c r="H8" i="3"/>
  <c r="H9" i="3" s="1"/>
  <c r="G8" i="3"/>
  <c r="G9" i="3" s="1"/>
  <c r="F8" i="3"/>
  <c r="F9" i="3" s="1"/>
  <c r="E8" i="3"/>
  <c r="E9" i="3" s="1"/>
  <c r="D8" i="3"/>
  <c r="D9" i="3" s="1"/>
  <c r="C8" i="3"/>
  <c r="C9" i="3" s="1"/>
  <c r="B8" i="3"/>
  <c r="B9" i="3" s="1"/>
  <c r="AK7" i="3"/>
  <c r="AJ7" i="3"/>
  <c r="AI7" i="3"/>
  <c r="AH7" i="3"/>
  <c r="AG7" i="3"/>
  <c r="AF7" i="3"/>
  <c r="AE7" i="3"/>
  <c r="AD7" i="3"/>
  <c r="AC7" i="3"/>
  <c r="AB7" i="3"/>
  <c r="AA7" i="3"/>
  <c r="Z7" i="3"/>
  <c r="AN7" i="3" s="1"/>
  <c r="Y7" i="3"/>
  <c r="X7" i="3"/>
  <c r="W7" i="3"/>
  <c r="V7" i="3"/>
  <c r="U7" i="3"/>
  <c r="T7" i="3"/>
  <c r="S7" i="3"/>
  <c r="R7" i="3"/>
  <c r="Q7" i="3"/>
  <c r="P7" i="3"/>
  <c r="O7" i="3"/>
  <c r="N7" i="3"/>
  <c r="AM7" i="3" s="1"/>
  <c r="M7" i="3"/>
  <c r="L7" i="3"/>
  <c r="K7" i="3"/>
  <c r="J7" i="3"/>
  <c r="I7" i="3"/>
  <c r="H7" i="3"/>
  <c r="G7" i="3"/>
  <c r="F7" i="3"/>
  <c r="E7" i="3"/>
  <c r="D7" i="3"/>
  <c r="C7" i="3"/>
  <c r="B7" i="3"/>
  <c r="AL7" i="3" s="1"/>
  <c r="B5" i="3"/>
  <c r="B53" i="2"/>
  <c r="B52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AN47" i="2" s="1"/>
  <c r="Y47" i="2"/>
  <c r="X47" i="2"/>
  <c r="W47" i="2"/>
  <c r="V47" i="2"/>
  <c r="U47" i="2"/>
  <c r="T47" i="2"/>
  <c r="S47" i="2"/>
  <c r="R47" i="2"/>
  <c r="Q47" i="2"/>
  <c r="P47" i="2"/>
  <c r="O47" i="2"/>
  <c r="N47" i="2"/>
  <c r="AM47" i="2" s="1"/>
  <c r="M47" i="2"/>
  <c r="L47" i="2"/>
  <c r="K47" i="2"/>
  <c r="J47" i="2"/>
  <c r="I47" i="2"/>
  <c r="H47" i="2"/>
  <c r="G47" i="2"/>
  <c r="F47" i="2"/>
  <c r="E47" i="2"/>
  <c r="D47" i="2"/>
  <c r="C47" i="2"/>
  <c r="B47" i="2"/>
  <c r="AL47" i="2" s="1"/>
  <c r="AK41" i="2"/>
  <c r="AJ41" i="2"/>
  <c r="AI41" i="2"/>
  <c r="AH41" i="2"/>
  <c r="AG41" i="2"/>
  <c r="AF41" i="2"/>
  <c r="AE41" i="2"/>
  <c r="AD41" i="2"/>
  <c r="AC41" i="2"/>
  <c r="AB41" i="2"/>
  <c r="AA41" i="2"/>
  <c r="Z41" i="2"/>
  <c r="AN41" i="2" s="1"/>
  <c r="Y41" i="2"/>
  <c r="X41" i="2"/>
  <c r="W41" i="2"/>
  <c r="V41" i="2"/>
  <c r="U41" i="2"/>
  <c r="T41" i="2"/>
  <c r="S41" i="2"/>
  <c r="R41" i="2"/>
  <c r="Q41" i="2"/>
  <c r="P41" i="2"/>
  <c r="O41" i="2"/>
  <c r="N41" i="2"/>
  <c r="AM41" i="2" s="1"/>
  <c r="M41" i="2"/>
  <c r="L41" i="2"/>
  <c r="K41" i="2"/>
  <c r="J41" i="2"/>
  <c r="I41" i="2"/>
  <c r="H41" i="2"/>
  <c r="G41" i="2"/>
  <c r="F41" i="2"/>
  <c r="E41" i="2"/>
  <c r="D41" i="2"/>
  <c r="C41" i="2"/>
  <c r="B41" i="2"/>
  <c r="AL41" i="2" s="1"/>
  <c r="AK40" i="2"/>
  <c r="AJ40" i="2"/>
  <c r="AI40" i="2"/>
  <c r="AH40" i="2"/>
  <c r="AG40" i="2"/>
  <c r="AF40" i="2"/>
  <c r="AE40" i="2"/>
  <c r="AD40" i="2"/>
  <c r="AC40" i="2"/>
  <c r="AB40" i="2"/>
  <c r="AA40" i="2"/>
  <c r="Z40" i="2"/>
  <c r="AN40" i="2" s="1"/>
  <c r="Y40" i="2"/>
  <c r="X40" i="2"/>
  <c r="W40" i="2"/>
  <c r="V40" i="2"/>
  <c r="U40" i="2"/>
  <c r="T40" i="2"/>
  <c r="S40" i="2"/>
  <c r="R40" i="2"/>
  <c r="Q40" i="2"/>
  <c r="P40" i="2"/>
  <c r="O40" i="2"/>
  <c r="N40" i="2"/>
  <c r="AM40" i="2" s="1"/>
  <c r="M40" i="2"/>
  <c r="L40" i="2"/>
  <c r="K40" i="2"/>
  <c r="J40" i="2"/>
  <c r="I40" i="2"/>
  <c r="H40" i="2"/>
  <c r="G40" i="2"/>
  <c r="F40" i="2"/>
  <c r="E40" i="2"/>
  <c r="D40" i="2"/>
  <c r="C40" i="2"/>
  <c r="B40" i="2"/>
  <c r="AL40" i="2" s="1"/>
  <c r="AK39" i="2"/>
  <c r="AJ39" i="2"/>
  <c r="AI39" i="2"/>
  <c r="AH39" i="2"/>
  <c r="AG39" i="2"/>
  <c r="AF39" i="2"/>
  <c r="AE39" i="2"/>
  <c r="AD39" i="2"/>
  <c r="AC39" i="2"/>
  <c r="AB39" i="2"/>
  <c r="AA39" i="2"/>
  <c r="Z39" i="2"/>
  <c r="AN39" i="2" s="1"/>
  <c r="Y39" i="2"/>
  <c r="X39" i="2"/>
  <c r="W39" i="2"/>
  <c r="V39" i="2"/>
  <c r="U39" i="2"/>
  <c r="T39" i="2"/>
  <c r="S39" i="2"/>
  <c r="R39" i="2"/>
  <c r="Q39" i="2"/>
  <c r="P39" i="2"/>
  <c r="O39" i="2"/>
  <c r="N39" i="2"/>
  <c r="AM39" i="2" s="1"/>
  <c r="M39" i="2"/>
  <c r="L39" i="2"/>
  <c r="K39" i="2"/>
  <c r="J39" i="2"/>
  <c r="I39" i="2"/>
  <c r="H39" i="2"/>
  <c r="G39" i="2"/>
  <c r="F39" i="2"/>
  <c r="E39" i="2"/>
  <c r="D39" i="2"/>
  <c r="C39" i="2"/>
  <c r="B39" i="2"/>
  <c r="AL39" i="2" s="1"/>
  <c r="AK38" i="2"/>
  <c r="AJ38" i="2"/>
  <c r="AI38" i="2"/>
  <c r="AH38" i="2"/>
  <c r="AG38" i="2"/>
  <c r="AF38" i="2"/>
  <c r="AE38" i="2"/>
  <c r="AD38" i="2"/>
  <c r="AC38" i="2"/>
  <c r="AB38" i="2"/>
  <c r="AA38" i="2"/>
  <c r="Z38" i="2"/>
  <c r="AN38" i="2" s="1"/>
  <c r="Y38" i="2"/>
  <c r="X38" i="2"/>
  <c r="W38" i="2"/>
  <c r="V38" i="2"/>
  <c r="U38" i="2"/>
  <c r="T38" i="2"/>
  <c r="S38" i="2"/>
  <c r="R38" i="2"/>
  <c r="Q38" i="2"/>
  <c r="P38" i="2"/>
  <c r="O38" i="2"/>
  <c r="N38" i="2"/>
  <c r="AM38" i="2" s="1"/>
  <c r="M38" i="2"/>
  <c r="L38" i="2"/>
  <c r="K38" i="2"/>
  <c r="J38" i="2"/>
  <c r="I38" i="2"/>
  <c r="H38" i="2"/>
  <c r="G38" i="2"/>
  <c r="F38" i="2"/>
  <c r="E38" i="2"/>
  <c r="D38" i="2"/>
  <c r="C38" i="2"/>
  <c r="B38" i="2"/>
  <c r="AL38" i="2" s="1"/>
  <c r="AK37" i="2"/>
  <c r="AJ37" i="2"/>
  <c r="AI37" i="2"/>
  <c r="AH37" i="2"/>
  <c r="AG37" i="2"/>
  <c r="AF37" i="2"/>
  <c r="AE37" i="2"/>
  <c r="AD37" i="2"/>
  <c r="AC37" i="2"/>
  <c r="AB37" i="2"/>
  <c r="AA37" i="2"/>
  <c r="Z37" i="2"/>
  <c r="AN37" i="2" s="1"/>
  <c r="Y37" i="2"/>
  <c r="X37" i="2"/>
  <c r="W37" i="2"/>
  <c r="V37" i="2"/>
  <c r="U37" i="2"/>
  <c r="T37" i="2"/>
  <c r="S37" i="2"/>
  <c r="R37" i="2"/>
  <c r="Q37" i="2"/>
  <c r="P37" i="2"/>
  <c r="O37" i="2"/>
  <c r="N37" i="2"/>
  <c r="AM37" i="2" s="1"/>
  <c r="M37" i="2"/>
  <c r="L37" i="2"/>
  <c r="K37" i="2"/>
  <c r="J37" i="2"/>
  <c r="I37" i="2"/>
  <c r="H37" i="2"/>
  <c r="G37" i="2"/>
  <c r="F37" i="2"/>
  <c r="E37" i="2"/>
  <c r="D37" i="2"/>
  <c r="C37" i="2"/>
  <c r="B37" i="2"/>
  <c r="AL37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AN36" i="2" s="1"/>
  <c r="Y36" i="2"/>
  <c r="X36" i="2"/>
  <c r="W36" i="2"/>
  <c r="V36" i="2"/>
  <c r="U36" i="2"/>
  <c r="T36" i="2"/>
  <c r="S36" i="2"/>
  <c r="R36" i="2"/>
  <c r="Q36" i="2"/>
  <c r="P36" i="2"/>
  <c r="O36" i="2"/>
  <c r="N36" i="2"/>
  <c r="AM36" i="2" s="1"/>
  <c r="M36" i="2"/>
  <c r="L36" i="2"/>
  <c r="K36" i="2"/>
  <c r="J36" i="2"/>
  <c r="I36" i="2"/>
  <c r="H36" i="2"/>
  <c r="G36" i="2"/>
  <c r="F36" i="2"/>
  <c r="E36" i="2"/>
  <c r="D36" i="2"/>
  <c r="C36" i="2"/>
  <c r="B36" i="2"/>
  <c r="AL36" i="2" s="1"/>
  <c r="AK35" i="2"/>
  <c r="AJ35" i="2"/>
  <c r="AI35" i="2"/>
  <c r="AH35" i="2"/>
  <c r="AG35" i="2"/>
  <c r="AF35" i="2"/>
  <c r="AE35" i="2"/>
  <c r="AD35" i="2"/>
  <c r="AC35" i="2"/>
  <c r="AB35" i="2"/>
  <c r="AA35" i="2"/>
  <c r="Z35" i="2"/>
  <c r="AN35" i="2" s="1"/>
  <c r="Y35" i="2"/>
  <c r="X35" i="2"/>
  <c r="W35" i="2"/>
  <c r="V35" i="2"/>
  <c r="U35" i="2"/>
  <c r="T35" i="2"/>
  <c r="S35" i="2"/>
  <c r="R35" i="2"/>
  <c r="Q35" i="2"/>
  <c r="P35" i="2"/>
  <c r="O35" i="2"/>
  <c r="N35" i="2"/>
  <c r="AM35" i="2" s="1"/>
  <c r="M35" i="2"/>
  <c r="L35" i="2"/>
  <c r="K35" i="2"/>
  <c r="J35" i="2"/>
  <c r="I35" i="2"/>
  <c r="H35" i="2"/>
  <c r="G35" i="2"/>
  <c r="F35" i="2"/>
  <c r="E35" i="2"/>
  <c r="D35" i="2"/>
  <c r="C35" i="2"/>
  <c r="B35" i="2"/>
  <c r="AL35" i="2" s="1"/>
  <c r="AK34" i="2"/>
  <c r="AJ34" i="2"/>
  <c r="AI34" i="2"/>
  <c r="AH34" i="2"/>
  <c r="AG34" i="2"/>
  <c r="AF34" i="2"/>
  <c r="AE34" i="2"/>
  <c r="AD34" i="2"/>
  <c r="AC34" i="2"/>
  <c r="AB34" i="2"/>
  <c r="AA34" i="2"/>
  <c r="Z34" i="2"/>
  <c r="AN34" i="2" s="1"/>
  <c r="Y34" i="2"/>
  <c r="X34" i="2"/>
  <c r="W34" i="2"/>
  <c r="V34" i="2"/>
  <c r="U34" i="2"/>
  <c r="T34" i="2"/>
  <c r="S34" i="2"/>
  <c r="R34" i="2"/>
  <c r="Q34" i="2"/>
  <c r="P34" i="2"/>
  <c r="O34" i="2"/>
  <c r="N34" i="2"/>
  <c r="AM34" i="2" s="1"/>
  <c r="M34" i="2"/>
  <c r="L34" i="2"/>
  <c r="K34" i="2"/>
  <c r="J34" i="2"/>
  <c r="I34" i="2"/>
  <c r="H34" i="2"/>
  <c r="G34" i="2"/>
  <c r="F34" i="2"/>
  <c r="E34" i="2"/>
  <c r="D34" i="2"/>
  <c r="C34" i="2"/>
  <c r="B34" i="2"/>
  <c r="AL34" i="2" s="1"/>
  <c r="C33" i="2"/>
  <c r="B33" i="2"/>
  <c r="F32" i="2"/>
  <c r="E32" i="2"/>
  <c r="D32" i="2"/>
  <c r="C32" i="2"/>
  <c r="B32" i="2"/>
  <c r="F31" i="2"/>
  <c r="E31" i="2"/>
  <c r="D31" i="2"/>
  <c r="C31" i="2"/>
  <c r="B31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AN23" i="2" s="1"/>
  <c r="Y23" i="2"/>
  <c r="X23" i="2"/>
  <c r="W23" i="2"/>
  <c r="V23" i="2"/>
  <c r="U23" i="2"/>
  <c r="T23" i="2"/>
  <c r="S23" i="2"/>
  <c r="R23" i="2"/>
  <c r="Q23" i="2"/>
  <c r="P23" i="2"/>
  <c r="O23" i="2"/>
  <c r="N23" i="2"/>
  <c r="AM23" i="2" s="1"/>
  <c r="M23" i="2"/>
  <c r="L23" i="2"/>
  <c r="K23" i="2"/>
  <c r="J23" i="2"/>
  <c r="I23" i="2"/>
  <c r="H23" i="2"/>
  <c r="G23" i="2"/>
  <c r="F23" i="2"/>
  <c r="E23" i="2"/>
  <c r="D23" i="2"/>
  <c r="C23" i="2"/>
  <c r="B23" i="2"/>
  <c r="AL23" i="2" s="1"/>
  <c r="F22" i="2"/>
  <c r="E22" i="2"/>
  <c r="D22" i="2"/>
  <c r="C22" i="2"/>
  <c r="B22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AN21" i="2" s="1"/>
  <c r="Y21" i="2"/>
  <c r="X21" i="2"/>
  <c r="W21" i="2"/>
  <c r="V21" i="2"/>
  <c r="U21" i="2"/>
  <c r="T21" i="2"/>
  <c r="S21" i="2"/>
  <c r="R21" i="2"/>
  <c r="Q21" i="2"/>
  <c r="P21" i="2"/>
  <c r="O21" i="2"/>
  <c r="N21" i="2"/>
  <c r="AM21" i="2" s="1"/>
  <c r="M21" i="2"/>
  <c r="L21" i="2"/>
  <c r="K21" i="2"/>
  <c r="J21" i="2"/>
  <c r="I21" i="2"/>
  <c r="H21" i="2"/>
  <c r="G21" i="2"/>
  <c r="F21" i="2"/>
  <c r="E21" i="2"/>
  <c r="D21" i="2"/>
  <c r="C21" i="2"/>
  <c r="B21" i="2"/>
  <c r="AL21" i="2" s="1"/>
  <c r="F20" i="2"/>
  <c r="E20" i="2"/>
  <c r="D20" i="2"/>
  <c r="C20" i="2"/>
  <c r="B20" i="2"/>
  <c r="M19" i="2"/>
  <c r="L19" i="2"/>
  <c r="K19" i="2"/>
  <c r="J19" i="2"/>
  <c r="I19" i="2"/>
  <c r="H19" i="2"/>
  <c r="G19" i="2"/>
  <c r="F19" i="2"/>
  <c r="E19" i="2"/>
  <c r="D19" i="2"/>
  <c r="C19" i="2"/>
  <c r="B19" i="2"/>
  <c r="AL19" i="2" s="1"/>
  <c r="G14" i="2"/>
  <c r="F14" i="2"/>
  <c r="E14" i="2"/>
  <c r="D14" i="2"/>
  <c r="C14" i="2"/>
  <c r="B14" i="2"/>
  <c r="G13" i="2"/>
  <c r="F13" i="2"/>
  <c r="E13" i="2"/>
  <c r="D13" i="2"/>
  <c r="C13" i="2"/>
  <c r="B13" i="2"/>
  <c r="AL12" i="2"/>
  <c r="M12" i="2"/>
  <c r="L12" i="2"/>
  <c r="K12" i="2"/>
  <c r="J12" i="2"/>
  <c r="I12" i="2"/>
  <c r="H12" i="2"/>
  <c r="G12" i="2"/>
  <c r="F12" i="2"/>
  <c r="E12" i="2"/>
  <c r="D12" i="2"/>
  <c r="C12" i="2"/>
  <c r="B12" i="2"/>
  <c r="M10" i="2"/>
  <c r="AL10" i="2" s="1"/>
  <c r="L10" i="2"/>
  <c r="K10" i="2"/>
  <c r="J10" i="2"/>
  <c r="I10" i="2"/>
  <c r="H10" i="2"/>
  <c r="G10" i="2"/>
  <c r="F10" i="2"/>
  <c r="E10" i="2"/>
  <c r="D10" i="2"/>
  <c r="C10" i="2"/>
  <c r="B10" i="2"/>
  <c r="AK8" i="2"/>
  <c r="AJ8" i="2"/>
  <c r="AJ9" i="2" s="1"/>
  <c r="AI8" i="2"/>
  <c r="AI9" i="2" s="1"/>
  <c r="AH8" i="2"/>
  <c r="AH9" i="2" s="1"/>
  <c r="AG8" i="2"/>
  <c r="AG9" i="2" s="1"/>
  <c r="AF8" i="2"/>
  <c r="AF9" i="2" s="1"/>
  <c r="AE8" i="2"/>
  <c r="AE9" i="2" s="1"/>
  <c r="AD8" i="2"/>
  <c r="AD9" i="2" s="1"/>
  <c r="AC8" i="2"/>
  <c r="AC9" i="2" s="1"/>
  <c r="AB8" i="2"/>
  <c r="AB9" i="2" s="1"/>
  <c r="AA8" i="2"/>
  <c r="AA9" i="2" s="1"/>
  <c r="Z8" i="2"/>
  <c r="Z9" i="2" s="1"/>
  <c r="Y8" i="2"/>
  <c r="X8" i="2"/>
  <c r="X9" i="2" s="1"/>
  <c r="W8" i="2"/>
  <c r="W9" i="2" s="1"/>
  <c r="V8" i="2"/>
  <c r="V9" i="2" s="1"/>
  <c r="U8" i="2"/>
  <c r="U9" i="2" s="1"/>
  <c r="T8" i="2"/>
  <c r="T9" i="2" s="1"/>
  <c r="S8" i="2"/>
  <c r="S9" i="2" s="1"/>
  <c r="R8" i="2"/>
  <c r="R9" i="2" s="1"/>
  <c r="Q8" i="2"/>
  <c r="Q9" i="2" s="1"/>
  <c r="P8" i="2"/>
  <c r="P9" i="2" s="1"/>
  <c r="O8" i="2"/>
  <c r="O9" i="2" s="1"/>
  <c r="N8" i="2"/>
  <c r="N9" i="2" s="1"/>
  <c r="M8" i="2"/>
  <c r="L8" i="2"/>
  <c r="L9" i="2" s="1"/>
  <c r="K8" i="2"/>
  <c r="K9" i="2" s="1"/>
  <c r="J8" i="2"/>
  <c r="J9" i="2" s="1"/>
  <c r="I8" i="2"/>
  <c r="I9" i="2" s="1"/>
  <c r="H8" i="2"/>
  <c r="H9" i="2" s="1"/>
  <c r="G8" i="2"/>
  <c r="G9" i="2" s="1"/>
  <c r="F8" i="2"/>
  <c r="F9" i="2" s="1"/>
  <c r="E8" i="2"/>
  <c r="E9" i="2" s="1"/>
  <c r="D8" i="2"/>
  <c r="D9" i="2" s="1"/>
  <c r="C8" i="2"/>
  <c r="C9" i="2" s="1"/>
  <c r="B8" i="2"/>
  <c r="B9" i="2" s="1"/>
  <c r="AK7" i="2"/>
  <c r="AJ7" i="2"/>
  <c r="AI7" i="2"/>
  <c r="AH7" i="2"/>
  <c r="AG7" i="2"/>
  <c r="AF7" i="2"/>
  <c r="AE7" i="2"/>
  <c r="AD7" i="2"/>
  <c r="AC7" i="2"/>
  <c r="AB7" i="2"/>
  <c r="AA7" i="2"/>
  <c r="Z7" i="2"/>
  <c r="AN7" i="2" s="1"/>
  <c r="Y7" i="2"/>
  <c r="X7" i="2"/>
  <c r="W7" i="2"/>
  <c r="V7" i="2"/>
  <c r="U7" i="2"/>
  <c r="T7" i="2"/>
  <c r="S7" i="2"/>
  <c r="R7" i="2"/>
  <c r="Q7" i="2"/>
  <c r="P7" i="2"/>
  <c r="O7" i="2"/>
  <c r="N7" i="2"/>
  <c r="AM7" i="2" s="1"/>
  <c r="M7" i="2"/>
  <c r="L7" i="2"/>
  <c r="K7" i="2"/>
  <c r="J7" i="2"/>
  <c r="I7" i="2"/>
  <c r="H7" i="2"/>
  <c r="G7" i="2"/>
  <c r="F7" i="2"/>
  <c r="E7" i="2"/>
  <c r="D7" i="2"/>
  <c r="C7" i="2"/>
  <c r="B7" i="2"/>
  <c r="AL7" i="2" s="1"/>
  <c r="B5" i="2"/>
  <c r="B53" i="4"/>
  <c r="B52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AN47" i="4" s="1"/>
  <c r="Y47" i="4"/>
  <c r="X47" i="4"/>
  <c r="W47" i="4"/>
  <c r="V47" i="4"/>
  <c r="U47" i="4"/>
  <c r="T47" i="4"/>
  <c r="S47" i="4"/>
  <c r="R47" i="4"/>
  <c r="Q47" i="4"/>
  <c r="P47" i="4"/>
  <c r="O47" i="4"/>
  <c r="N47" i="4"/>
  <c r="AM47" i="4" s="1"/>
  <c r="M47" i="4"/>
  <c r="L47" i="4"/>
  <c r="K47" i="4"/>
  <c r="J47" i="4"/>
  <c r="I47" i="4"/>
  <c r="H47" i="4"/>
  <c r="G47" i="4"/>
  <c r="F47" i="4"/>
  <c r="E47" i="4"/>
  <c r="D47" i="4"/>
  <c r="C47" i="4"/>
  <c r="B47" i="4"/>
  <c r="AL47" i="4" s="1"/>
  <c r="AK41" i="4"/>
  <c r="AJ41" i="4"/>
  <c r="AI41" i="4"/>
  <c r="AH41" i="4"/>
  <c r="AG41" i="4"/>
  <c r="AF41" i="4"/>
  <c r="AE41" i="4"/>
  <c r="AD41" i="4"/>
  <c r="AC41" i="4"/>
  <c r="AB41" i="4"/>
  <c r="AA41" i="4"/>
  <c r="Z41" i="4"/>
  <c r="AN41" i="4" s="1"/>
  <c r="Y41" i="4"/>
  <c r="X41" i="4"/>
  <c r="W41" i="4"/>
  <c r="V41" i="4"/>
  <c r="U41" i="4"/>
  <c r="T41" i="4"/>
  <c r="S41" i="4"/>
  <c r="R41" i="4"/>
  <c r="Q41" i="4"/>
  <c r="P41" i="4"/>
  <c r="O41" i="4"/>
  <c r="N41" i="4"/>
  <c r="AM41" i="4" s="1"/>
  <c r="M41" i="4"/>
  <c r="L41" i="4"/>
  <c r="K41" i="4"/>
  <c r="J41" i="4"/>
  <c r="I41" i="4"/>
  <c r="H41" i="4"/>
  <c r="G41" i="4"/>
  <c r="F41" i="4"/>
  <c r="E41" i="4"/>
  <c r="D41" i="4"/>
  <c r="C41" i="4"/>
  <c r="B41" i="4"/>
  <c r="AL41" i="4" s="1"/>
  <c r="AK40" i="4"/>
  <c r="AJ40" i="4"/>
  <c r="AI40" i="4"/>
  <c r="AH40" i="4"/>
  <c r="AG40" i="4"/>
  <c r="AF40" i="4"/>
  <c r="AE40" i="4"/>
  <c r="AD40" i="4"/>
  <c r="AC40" i="4"/>
  <c r="AB40" i="4"/>
  <c r="AA40" i="4"/>
  <c r="Z40" i="4"/>
  <c r="AN40" i="4" s="1"/>
  <c r="Y40" i="4"/>
  <c r="X40" i="4"/>
  <c r="W40" i="4"/>
  <c r="V40" i="4"/>
  <c r="U40" i="4"/>
  <c r="T40" i="4"/>
  <c r="S40" i="4"/>
  <c r="R40" i="4"/>
  <c r="Q40" i="4"/>
  <c r="P40" i="4"/>
  <c r="O40" i="4"/>
  <c r="N40" i="4"/>
  <c r="AM40" i="4" s="1"/>
  <c r="M40" i="4"/>
  <c r="L40" i="4"/>
  <c r="K40" i="4"/>
  <c r="J40" i="4"/>
  <c r="I40" i="4"/>
  <c r="H40" i="4"/>
  <c r="G40" i="4"/>
  <c r="F40" i="4"/>
  <c r="E40" i="4"/>
  <c r="D40" i="4"/>
  <c r="C40" i="4"/>
  <c r="B40" i="4"/>
  <c r="AL40" i="4" s="1"/>
  <c r="AK39" i="4"/>
  <c r="AJ39" i="4"/>
  <c r="AI39" i="4"/>
  <c r="AH39" i="4"/>
  <c r="AG39" i="4"/>
  <c r="AF39" i="4"/>
  <c r="AE39" i="4"/>
  <c r="AD39" i="4"/>
  <c r="AC39" i="4"/>
  <c r="AB39" i="4"/>
  <c r="AA39" i="4"/>
  <c r="Z39" i="4"/>
  <c r="AN39" i="4" s="1"/>
  <c r="Y39" i="4"/>
  <c r="X39" i="4"/>
  <c r="W39" i="4"/>
  <c r="V39" i="4"/>
  <c r="U39" i="4"/>
  <c r="T39" i="4"/>
  <c r="S39" i="4"/>
  <c r="R39" i="4"/>
  <c r="Q39" i="4"/>
  <c r="P39" i="4"/>
  <c r="O39" i="4"/>
  <c r="N39" i="4"/>
  <c r="AM39" i="4" s="1"/>
  <c r="M39" i="4"/>
  <c r="L39" i="4"/>
  <c r="K39" i="4"/>
  <c r="J39" i="4"/>
  <c r="I39" i="4"/>
  <c r="H39" i="4"/>
  <c r="G39" i="4"/>
  <c r="F39" i="4"/>
  <c r="E39" i="4"/>
  <c r="D39" i="4"/>
  <c r="C39" i="4"/>
  <c r="B39" i="4"/>
  <c r="AL39" i="4" s="1"/>
  <c r="AK38" i="4"/>
  <c r="AJ38" i="4"/>
  <c r="AI38" i="4"/>
  <c r="AH38" i="4"/>
  <c r="AG38" i="4"/>
  <c r="AF38" i="4"/>
  <c r="AE38" i="4"/>
  <c r="AD38" i="4"/>
  <c r="AC38" i="4"/>
  <c r="AB38" i="4"/>
  <c r="AA38" i="4"/>
  <c r="Z38" i="4"/>
  <c r="AN38" i="4" s="1"/>
  <c r="Y38" i="4"/>
  <c r="X38" i="4"/>
  <c r="W38" i="4"/>
  <c r="V38" i="4"/>
  <c r="U38" i="4"/>
  <c r="T38" i="4"/>
  <c r="S38" i="4"/>
  <c r="R38" i="4"/>
  <c r="Q38" i="4"/>
  <c r="P38" i="4"/>
  <c r="O38" i="4"/>
  <c r="N38" i="4"/>
  <c r="AM38" i="4" s="1"/>
  <c r="M38" i="4"/>
  <c r="L38" i="4"/>
  <c r="K38" i="4"/>
  <c r="J38" i="4"/>
  <c r="I38" i="4"/>
  <c r="H38" i="4"/>
  <c r="G38" i="4"/>
  <c r="F38" i="4"/>
  <c r="E38" i="4"/>
  <c r="D38" i="4"/>
  <c r="C38" i="4"/>
  <c r="B38" i="4"/>
  <c r="AL38" i="4" s="1"/>
  <c r="AK37" i="4"/>
  <c r="AJ37" i="4"/>
  <c r="AI37" i="4"/>
  <c r="AH37" i="4"/>
  <c r="AG37" i="4"/>
  <c r="AF37" i="4"/>
  <c r="AE37" i="4"/>
  <c r="AD37" i="4"/>
  <c r="AC37" i="4"/>
  <c r="AB37" i="4"/>
  <c r="AA37" i="4"/>
  <c r="Z37" i="4"/>
  <c r="AN37" i="4" s="1"/>
  <c r="Y37" i="4"/>
  <c r="X37" i="4"/>
  <c r="W37" i="4"/>
  <c r="V37" i="4"/>
  <c r="U37" i="4"/>
  <c r="T37" i="4"/>
  <c r="S37" i="4"/>
  <c r="R37" i="4"/>
  <c r="Q37" i="4"/>
  <c r="P37" i="4"/>
  <c r="O37" i="4"/>
  <c r="N37" i="4"/>
  <c r="AM37" i="4" s="1"/>
  <c r="M37" i="4"/>
  <c r="L37" i="4"/>
  <c r="K37" i="4"/>
  <c r="J37" i="4"/>
  <c r="I37" i="4"/>
  <c r="H37" i="4"/>
  <c r="G37" i="4"/>
  <c r="F37" i="4"/>
  <c r="E37" i="4"/>
  <c r="D37" i="4"/>
  <c r="C37" i="4"/>
  <c r="B37" i="4"/>
  <c r="AL37" i="4" s="1"/>
  <c r="AK36" i="4"/>
  <c r="AJ36" i="4"/>
  <c r="AI36" i="4"/>
  <c r="AH36" i="4"/>
  <c r="AG36" i="4"/>
  <c r="AF36" i="4"/>
  <c r="AE36" i="4"/>
  <c r="AD36" i="4"/>
  <c r="AC36" i="4"/>
  <c r="AB36" i="4"/>
  <c r="AA36" i="4"/>
  <c r="Z36" i="4"/>
  <c r="AN36" i="4" s="1"/>
  <c r="Y36" i="4"/>
  <c r="X36" i="4"/>
  <c r="W36" i="4"/>
  <c r="V36" i="4"/>
  <c r="U36" i="4"/>
  <c r="T36" i="4"/>
  <c r="S36" i="4"/>
  <c r="R36" i="4"/>
  <c r="Q36" i="4"/>
  <c r="P36" i="4"/>
  <c r="O36" i="4"/>
  <c r="N36" i="4"/>
  <c r="AM36" i="4" s="1"/>
  <c r="M36" i="4"/>
  <c r="L36" i="4"/>
  <c r="K36" i="4"/>
  <c r="J36" i="4"/>
  <c r="I36" i="4"/>
  <c r="H36" i="4"/>
  <c r="G36" i="4"/>
  <c r="F36" i="4"/>
  <c r="E36" i="4"/>
  <c r="D36" i="4"/>
  <c r="C36" i="4"/>
  <c r="B36" i="4"/>
  <c r="AL36" i="4" s="1"/>
  <c r="AK35" i="4"/>
  <c r="AJ35" i="4"/>
  <c r="AI35" i="4"/>
  <c r="AH35" i="4"/>
  <c r="AG35" i="4"/>
  <c r="AF35" i="4"/>
  <c r="AE35" i="4"/>
  <c r="AD35" i="4"/>
  <c r="AC35" i="4"/>
  <c r="AB35" i="4"/>
  <c r="AA35" i="4"/>
  <c r="Z35" i="4"/>
  <c r="AN35" i="4" s="1"/>
  <c r="Y35" i="4"/>
  <c r="X35" i="4"/>
  <c r="W35" i="4"/>
  <c r="V35" i="4"/>
  <c r="U35" i="4"/>
  <c r="T35" i="4"/>
  <c r="S35" i="4"/>
  <c r="R35" i="4"/>
  <c r="Q35" i="4"/>
  <c r="P35" i="4"/>
  <c r="O35" i="4"/>
  <c r="N35" i="4"/>
  <c r="AM35" i="4" s="1"/>
  <c r="M35" i="4"/>
  <c r="L35" i="4"/>
  <c r="K35" i="4"/>
  <c r="J35" i="4"/>
  <c r="I35" i="4"/>
  <c r="H35" i="4"/>
  <c r="G35" i="4"/>
  <c r="F35" i="4"/>
  <c r="E35" i="4"/>
  <c r="D35" i="4"/>
  <c r="C35" i="4"/>
  <c r="B35" i="4"/>
  <c r="AL35" i="4" s="1"/>
  <c r="AK34" i="4"/>
  <c r="AJ34" i="4"/>
  <c r="AI34" i="4"/>
  <c r="AH34" i="4"/>
  <c r="AG34" i="4"/>
  <c r="AF34" i="4"/>
  <c r="AE34" i="4"/>
  <c r="AD34" i="4"/>
  <c r="AC34" i="4"/>
  <c r="AB34" i="4"/>
  <c r="AA34" i="4"/>
  <c r="Z34" i="4"/>
  <c r="AN34" i="4" s="1"/>
  <c r="Y34" i="4"/>
  <c r="X34" i="4"/>
  <c r="W34" i="4"/>
  <c r="V34" i="4"/>
  <c r="U34" i="4"/>
  <c r="T34" i="4"/>
  <c r="S34" i="4"/>
  <c r="R34" i="4"/>
  <c r="Q34" i="4"/>
  <c r="P34" i="4"/>
  <c r="O34" i="4"/>
  <c r="N34" i="4"/>
  <c r="AM34" i="4" s="1"/>
  <c r="M34" i="4"/>
  <c r="L34" i="4"/>
  <c r="K34" i="4"/>
  <c r="J34" i="4"/>
  <c r="I34" i="4"/>
  <c r="H34" i="4"/>
  <c r="G34" i="4"/>
  <c r="F34" i="4"/>
  <c r="E34" i="4"/>
  <c r="D34" i="4"/>
  <c r="C34" i="4"/>
  <c r="B34" i="4"/>
  <c r="AL34" i="4" s="1"/>
  <c r="C33" i="4"/>
  <c r="B33" i="4"/>
  <c r="F32" i="4"/>
  <c r="E32" i="4"/>
  <c r="D32" i="4"/>
  <c r="C32" i="4"/>
  <c r="B32" i="4"/>
  <c r="F31" i="4"/>
  <c r="E31" i="4"/>
  <c r="D31" i="4"/>
  <c r="C31" i="4"/>
  <c r="B31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AN23" i="4" s="1"/>
  <c r="Y23" i="4"/>
  <c r="X23" i="4"/>
  <c r="W23" i="4"/>
  <c r="V23" i="4"/>
  <c r="U23" i="4"/>
  <c r="T23" i="4"/>
  <c r="S23" i="4"/>
  <c r="R23" i="4"/>
  <c r="Q23" i="4"/>
  <c r="P23" i="4"/>
  <c r="O23" i="4"/>
  <c r="N23" i="4"/>
  <c r="AM23" i="4" s="1"/>
  <c r="M23" i="4"/>
  <c r="L23" i="4"/>
  <c r="K23" i="4"/>
  <c r="J23" i="4"/>
  <c r="I23" i="4"/>
  <c r="H23" i="4"/>
  <c r="G23" i="4"/>
  <c r="F23" i="4"/>
  <c r="E23" i="4"/>
  <c r="D23" i="4"/>
  <c r="C23" i="4"/>
  <c r="B23" i="4"/>
  <c r="AL23" i="4" s="1"/>
  <c r="G22" i="4"/>
  <c r="F22" i="4"/>
  <c r="E22" i="4"/>
  <c r="D22" i="4"/>
  <c r="C22" i="4"/>
  <c r="B22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AN21" i="4" s="1"/>
  <c r="Y21" i="4"/>
  <c r="X21" i="4"/>
  <c r="W21" i="4"/>
  <c r="V21" i="4"/>
  <c r="U21" i="4"/>
  <c r="T21" i="4"/>
  <c r="AM21" i="4" s="1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20" i="4"/>
  <c r="E20" i="4"/>
  <c r="D20" i="4"/>
  <c r="C20" i="4"/>
  <c r="B20" i="4"/>
  <c r="L19" i="4"/>
  <c r="K19" i="4"/>
  <c r="J19" i="4"/>
  <c r="I19" i="4"/>
  <c r="H19" i="4"/>
  <c r="G19" i="4"/>
  <c r="F19" i="4"/>
  <c r="E19" i="4"/>
  <c r="D19" i="4"/>
  <c r="C19" i="4"/>
  <c r="B19" i="4"/>
  <c r="G14" i="4"/>
  <c r="F14" i="4"/>
  <c r="E14" i="4"/>
  <c r="D14" i="4"/>
  <c r="C14" i="4"/>
  <c r="B14" i="4"/>
  <c r="G13" i="4"/>
  <c r="H13" i="4" s="1"/>
  <c r="F13" i="4"/>
  <c r="E13" i="4"/>
  <c r="D13" i="4"/>
  <c r="C13" i="4"/>
  <c r="B13" i="4"/>
  <c r="L12" i="4"/>
  <c r="K12" i="4"/>
  <c r="J12" i="4"/>
  <c r="I12" i="4"/>
  <c r="H12" i="4"/>
  <c r="G12" i="4"/>
  <c r="F12" i="4"/>
  <c r="E12" i="4"/>
  <c r="D12" i="4"/>
  <c r="C12" i="4"/>
  <c r="B12" i="4"/>
  <c r="L10" i="4"/>
  <c r="K10" i="4"/>
  <c r="J10" i="4"/>
  <c r="I10" i="4"/>
  <c r="H10" i="4"/>
  <c r="G10" i="4"/>
  <c r="F10" i="4"/>
  <c r="E10" i="4"/>
  <c r="D10" i="4"/>
  <c r="C10" i="4"/>
  <c r="B10" i="4"/>
  <c r="AK8" i="4"/>
  <c r="AJ8" i="4"/>
  <c r="AJ9" i="4" s="1"/>
  <c r="AI8" i="4"/>
  <c r="AI9" i="4" s="1"/>
  <c r="AH8" i="4"/>
  <c r="AH9" i="4" s="1"/>
  <c r="AG8" i="4"/>
  <c r="AG9" i="4" s="1"/>
  <c r="AF8" i="4"/>
  <c r="AF9" i="4" s="1"/>
  <c r="AE8" i="4"/>
  <c r="AE9" i="4" s="1"/>
  <c r="AD8" i="4"/>
  <c r="AD9" i="4" s="1"/>
  <c r="AC8" i="4"/>
  <c r="AC9" i="4" s="1"/>
  <c r="AB8" i="4"/>
  <c r="AB9" i="4" s="1"/>
  <c r="AA8" i="4"/>
  <c r="AA9" i="4" s="1"/>
  <c r="Z8" i="4"/>
  <c r="Z9" i="4" s="1"/>
  <c r="Y8" i="4"/>
  <c r="X8" i="4"/>
  <c r="X9" i="4" s="1"/>
  <c r="W8" i="4"/>
  <c r="W9" i="4" s="1"/>
  <c r="V8" i="4"/>
  <c r="V9" i="4" s="1"/>
  <c r="U8" i="4"/>
  <c r="U9" i="4" s="1"/>
  <c r="T8" i="4"/>
  <c r="T9" i="4" s="1"/>
  <c r="S8" i="4"/>
  <c r="S9" i="4" s="1"/>
  <c r="R8" i="4"/>
  <c r="R9" i="4" s="1"/>
  <c r="Q8" i="4"/>
  <c r="Q9" i="4" s="1"/>
  <c r="P8" i="4"/>
  <c r="P9" i="4" s="1"/>
  <c r="O8" i="4"/>
  <c r="O9" i="4" s="1"/>
  <c r="N8" i="4"/>
  <c r="N9" i="4" s="1"/>
  <c r="M8" i="4"/>
  <c r="L8" i="4"/>
  <c r="L9" i="4" s="1"/>
  <c r="K8" i="4"/>
  <c r="K9" i="4" s="1"/>
  <c r="J8" i="4"/>
  <c r="J9" i="4" s="1"/>
  <c r="I8" i="4"/>
  <c r="I9" i="4" s="1"/>
  <c r="H8" i="4"/>
  <c r="H9" i="4" s="1"/>
  <c r="G8" i="4"/>
  <c r="G9" i="4" s="1"/>
  <c r="F8" i="4"/>
  <c r="F9" i="4" s="1"/>
  <c r="E8" i="4"/>
  <c r="E9" i="4" s="1"/>
  <c r="D8" i="4"/>
  <c r="D9" i="4" s="1"/>
  <c r="C8" i="4"/>
  <c r="C9" i="4" s="1"/>
  <c r="B8" i="4"/>
  <c r="B9" i="4" s="1"/>
  <c r="AK7" i="4"/>
  <c r="AJ7" i="4"/>
  <c r="AI7" i="4"/>
  <c r="AH7" i="4"/>
  <c r="AG7" i="4"/>
  <c r="AF7" i="4"/>
  <c r="AE7" i="4"/>
  <c r="AD7" i="4"/>
  <c r="AC7" i="4"/>
  <c r="AB7" i="4"/>
  <c r="AA7" i="4"/>
  <c r="Z7" i="4"/>
  <c r="AN7" i="4" s="1"/>
  <c r="Y7" i="4"/>
  <c r="X7" i="4"/>
  <c r="W7" i="4"/>
  <c r="V7" i="4"/>
  <c r="U7" i="4"/>
  <c r="T7" i="4"/>
  <c r="S7" i="4"/>
  <c r="R7" i="4"/>
  <c r="Q7" i="4"/>
  <c r="P7" i="4"/>
  <c r="O7" i="4"/>
  <c r="N7" i="4"/>
  <c r="AM7" i="4" s="1"/>
  <c r="M7" i="4"/>
  <c r="L7" i="4"/>
  <c r="K7" i="4"/>
  <c r="J7" i="4"/>
  <c r="I7" i="4"/>
  <c r="H7" i="4"/>
  <c r="G7" i="4"/>
  <c r="F7" i="4"/>
  <c r="E7" i="4"/>
  <c r="D7" i="4"/>
  <c r="C7" i="4"/>
  <c r="B7" i="4"/>
  <c r="AL7" i="4" s="1"/>
  <c r="B5" i="4"/>
  <c r="B55" i="3" l="1"/>
  <c r="B31" i="3"/>
  <c r="I14" i="3"/>
  <c r="H20" i="3"/>
  <c r="I13" i="3"/>
  <c r="H22" i="3"/>
  <c r="AN8" i="3"/>
  <c r="AK9" i="3"/>
  <c r="AN9" i="3" s="1"/>
  <c r="AM8" i="3"/>
  <c r="Y9" i="3"/>
  <c r="AL8" i="3"/>
  <c r="M9" i="3"/>
  <c r="AL9" i="3" s="1"/>
  <c r="C5" i="3"/>
  <c r="B6" i="3"/>
  <c r="B55" i="2"/>
  <c r="G20" i="2"/>
  <c r="H14" i="2"/>
  <c r="G22" i="2"/>
  <c r="H13" i="2"/>
  <c r="AN8" i="2"/>
  <c r="AK9" i="2"/>
  <c r="AN9" i="2" s="1"/>
  <c r="Y9" i="2"/>
  <c r="AM8" i="2"/>
  <c r="AM9" i="2"/>
  <c r="B51" i="2"/>
  <c r="M9" i="2"/>
  <c r="AL9" i="2" s="1"/>
  <c r="AL8" i="2"/>
  <c r="B6" i="2"/>
  <c r="C5" i="2"/>
  <c r="B55" i="4"/>
  <c r="G20" i="4"/>
  <c r="H14" i="4"/>
  <c r="I13" i="4"/>
  <c r="H22" i="4"/>
  <c r="AK9" i="4"/>
  <c r="AN9" i="4" s="1"/>
  <c r="AN8" i="4"/>
  <c r="AM8" i="4"/>
  <c r="Y9" i="4"/>
  <c r="AL8" i="4"/>
  <c r="M9" i="4"/>
  <c r="AL9" i="4" s="1"/>
  <c r="B6" i="4"/>
  <c r="C5" i="4"/>
  <c r="J14" i="3" l="1"/>
  <c r="I20" i="3"/>
  <c r="J13" i="3"/>
  <c r="I22" i="3"/>
  <c r="D5" i="3"/>
  <c r="C6" i="3"/>
  <c r="B11" i="3"/>
  <c r="G31" i="2"/>
  <c r="I14" i="2"/>
  <c r="H20" i="2"/>
  <c r="I13" i="2"/>
  <c r="H22" i="2"/>
  <c r="B11" i="2"/>
  <c r="D5" i="2"/>
  <c r="C6" i="2"/>
  <c r="G31" i="4"/>
  <c r="I14" i="4"/>
  <c r="H20" i="4"/>
  <c r="J13" i="4"/>
  <c r="I22" i="4"/>
  <c r="B11" i="4"/>
  <c r="D5" i="4"/>
  <c r="C6" i="4"/>
  <c r="H31" i="3"/>
  <c r="AM9" i="3"/>
  <c r="B51" i="3"/>
  <c r="B57" i="2"/>
  <c r="B54" i="2"/>
  <c r="AM9" i="4"/>
  <c r="B51" i="4"/>
  <c r="K14" i="3" l="1"/>
  <c r="J20" i="3"/>
  <c r="K13" i="3"/>
  <c r="J22" i="3"/>
  <c r="E5" i="3"/>
  <c r="D6" i="3"/>
  <c r="C11" i="3"/>
  <c r="B15" i="3"/>
  <c r="B18" i="3"/>
  <c r="C18" i="3"/>
  <c r="J14" i="2"/>
  <c r="I20" i="2"/>
  <c r="I22" i="2"/>
  <c r="J13" i="2"/>
  <c r="B15" i="2"/>
  <c r="B18" i="2"/>
  <c r="C11" i="2"/>
  <c r="C18" i="2" s="1"/>
  <c r="E5" i="2"/>
  <c r="D6" i="2"/>
  <c r="J14" i="4"/>
  <c r="I20" i="4"/>
  <c r="K13" i="4"/>
  <c r="J22" i="4"/>
  <c r="C11" i="4"/>
  <c r="B15" i="4"/>
  <c r="B18" i="4"/>
  <c r="C18" i="4"/>
  <c r="E5" i="4"/>
  <c r="D6" i="4"/>
  <c r="B54" i="3"/>
  <c r="B57" i="3"/>
  <c r="B54" i="4"/>
  <c r="B57" i="4"/>
  <c r="I31" i="3"/>
  <c r="H31" i="2"/>
  <c r="H31" i="4"/>
  <c r="L14" i="3" l="1"/>
  <c r="K20" i="3"/>
  <c r="L13" i="3"/>
  <c r="K22" i="3"/>
  <c r="F5" i="3"/>
  <c r="E6" i="3"/>
  <c r="D11" i="3"/>
  <c r="C15" i="3"/>
  <c r="D18" i="3"/>
  <c r="D29" i="3"/>
  <c r="D30" i="3" s="1"/>
  <c r="B25" i="3"/>
  <c r="B26" i="3" s="1"/>
  <c r="B29" i="3"/>
  <c r="B30" i="3" s="1"/>
  <c r="B24" i="3"/>
  <c r="C29" i="3"/>
  <c r="C30" i="3" s="1"/>
  <c r="C42" i="3" s="1"/>
  <c r="C25" i="3"/>
  <c r="C26" i="3" s="1"/>
  <c r="C24" i="3"/>
  <c r="K14" i="2"/>
  <c r="J20" i="2"/>
  <c r="K13" i="2"/>
  <c r="J22" i="2"/>
  <c r="B24" i="2"/>
  <c r="B25" i="2"/>
  <c r="B26" i="2" s="1"/>
  <c r="B29" i="2"/>
  <c r="B30" i="2" s="1"/>
  <c r="C29" i="2"/>
  <c r="C30" i="2" s="1"/>
  <c r="C42" i="2" s="1"/>
  <c r="C24" i="2"/>
  <c r="C25" i="2"/>
  <c r="C26" i="2" s="1"/>
  <c r="D11" i="2"/>
  <c r="C15" i="2"/>
  <c r="D18" i="2"/>
  <c r="F5" i="2"/>
  <c r="E6" i="2"/>
  <c r="K14" i="4"/>
  <c r="J20" i="4"/>
  <c r="L13" i="4"/>
  <c r="K22" i="4"/>
  <c r="D11" i="4"/>
  <c r="C15" i="4"/>
  <c r="D18" i="4"/>
  <c r="B24" i="4"/>
  <c r="B25" i="4"/>
  <c r="B26" i="4" s="1"/>
  <c r="B29" i="4"/>
  <c r="B30" i="4" s="1"/>
  <c r="C29" i="4"/>
  <c r="C30" i="4" s="1"/>
  <c r="C42" i="4" s="1"/>
  <c r="D29" i="4"/>
  <c r="D30" i="4" s="1"/>
  <c r="C24" i="4"/>
  <c r="C25" i="4"/>
  <c r="C26" i="4" s="1"/>
  <c r="F5" i="4"/>
  <c r="E6" i="4"/>
  <c r="J31" i="3"/>
  <c r="I31" i="2"/>
  <c r="I31" i="4"/>
  <c r="M14" i="3" l="1"/>
  <c r="L20" i="3"/>
  <c r="L31" i="3" s="1"/>
  <c r="M13" i="3"/>
  <c r="L22" i="3"/>
  <c r="G5" i="3"/>
  <c r="F6" i="3"/>
  <c r="E11" i="3"/>
  <c r="D15" i="3"/>
  <c r="D33" i="3" s="1"/>
  <c r="E18" i="3"/>
  <c r="D24" i="3"/>
  <c r="D25" i="3"/>
  <c r="D26" i="3" s="1"/>
  <c r="B42" i="3"/>
  <c r="B45" i="3"/>
  <c r="B46" i="3"/>
  <c r="C45" i="3"/>
  <c r="C46" i="3"/>
  <c r="L14" i="2"/>
  <c r="K20" i="2"/>
  <c r="L13" i="2"/>
  <c r="K22" i="2"/>
  <c r="B45" i="2"/>
  <c r="B42" i="2"/>
  <c r="B46" i="2" s="1"/>
  <c r="C45" i="2"/>
  <c r="C46" i="2"/>
  <c r="D15" i="2"/>
  <c r="D33" i="2" s="1"/>
  <c r="E11" i="2"/>
  <c r="E18" i="2" s="1"/>
  <c r="D24" i="2"/>
  <c r="D25" i="2"/>
  <c r="D26" i="2" s="1"/>
  <c r="G5" i="2"/>
  <c r="F6" i="2"/>
  <c r="L14" i="4"/>
  <c r="K20" i="4"/>
  <c r="M13" i="4"/>
  <c r="L22" i="4"/>
  <c r="E11" i="4"/>
  <c r="D15" i="4"/>
  <c r="D33" i="4" s="1"/>
  <c r="E18" i="4"/>
  <c r="D24" i="4"/>
  <c r="D25" i="4"/>
  <c r="D26" i="4" s="1"/>
  <c r="B45" i="4"/>
  <c r="B42" i="4"/>
  <c r="B46" i="4" s="1"/>
  <c r="C45" i="4"/>
  <c r="C46" i="4"/>
  <c r="G5" i="4"/>
  <c r="F6" i="4"/>
  <c r="K31" i="3"/>
  <c r="E29" i="3"/>
  <c r="E30" i="3" s="1"/>
  <c r="J31" i="2"/>
  <c r="D29" i="2"/>
  <c r="D30" i="2" s="1"/>
  <c r="J31" i="4"/>
  <c r="N14" i="3" l="1"/>
  <c r="AL14" i="3"/>
  <c r="M20" i="3"/>
  <c r="N13" i="3"/>
  <c r="AL13" i="3"/>
  <c r="M22" i="3"/>
  <c r="AL22" i="3" s="1"/>
  <c r="H5" i="3"/>
  <c r="G6" i="3"/>
  <c r="F11" i="3"/>
  <c r="E15" i="3"/>
  <c r="E33" i="3" s="1"/>
  <c r="E42" i="3" s="1"/>
  <c r="F18" i="3"/>
  <c r="D42" i="3"/>
  <c r="D46" i="3" s="1"/>
  <c r="E24" i="3"/>
  <c r="E25" i="3"/>
  <c r="E26" i="3" s="1"/>
  <c r="D45" i="3"/>
  <c r="B48" i="3"/>
  <c r="C48" i="3" s="1"/>
  <c r="M14" i="2"/>
  <c r="L20" i="2"/>
  <c r="L31" i="2" s="1"/>
  <c r="M13" i="2"/>
  <c r="L22" i="2"/>
  <c r="B48" i="2"/>
  <c r="C48" i="2" s="1"/>
  <c r="D48" i="2" s="1"/>
  <c r="E24" i="2"/>
  <c r="E25" i="2"/>
  <c r="E26" i="2" s="1"/>
  <c r="F11" i="2"/>
  <c r="E15" i="2"/>
  <c r="E33" i="2" s="1"/>
  <c r="F18" i="2"/>
  <c r="D45" i="2"/>
  <c r="D46" i="2"/>
  <c r="H5" i="2"/>
  <c r="G6" i="2"/>
  <c r="M14" i="4"/>
  <c r="L20" i="4"/>
  <c r="N13" i="4"/>
  <c r="AL13" i="4"/>
  <c r="M22" i="4"/>
  <c r="AL22" i="4" s="1"/>
  <c r="F11" i="4"/>
  <c r="E15" i="4"/>
  <c r="E33" i="4" s="1"/>
  <c r="F18" i="4"/>
  <c r="D42" i="4"/>
  <c r="E24" i="4"/>
  <c r="E25" i="4"/>
  <c r="E26" i="4" s="1"/>
  <c r="D45" i="4"/>
  <c r="D46" i="4"/>
  <c r="B48" i="4"/>
  <c r="C48" i="4" s="1"/>
  <c r="D48" i="4" s="1"/>
  <c r="H5" i="4"/>
  <c r="G6" i="4"/>
  <c r="D42" i="2"/>
  <c r="K31" i="2"/>
  <c r="E29" i="2"/>
  <c r="E30" i="2" s="1"/>
  <c r="F29" i="2"/>
  <c r="F30" i="2" s="1"/>
  <c r="K31" i="4"/>
  <c r="E29" i="4"/>
  <c r="E30" i="4" s="1"/>
  <c r="O14" i="3" l="1"/>
  <c r="N20" i="3"/>
  <c r="AL20" i="3"/>
  <c r="M31" i="3"/>
  <c r="AL31" i="3" s="1"/>
  <c r="O13" i="3"/>
  <c r="N22" i="3"/>
  <c r="I5" i="3"/>
  <c r="H6" i="3"/>
  <c r="G11" i="3"/>
  <c r="F15" i="3"/>
  <c r="F33" i="3" s="1"/>
  <c r="G18" i="3"/>
  <c r="F29" i="3"/>
  <c r="F30" i="3" s="1"/>
  <c r="F25" i="3"/>
  <c r="F26" i="3" s="1"/>
  <c r="F24" i="3"/>
  <c r="E45" i="3"/>
  <c r="E46" i="3"/>
  <c r="N14" i="2"/>
  <c r="AL14" i="2"/>
  <c r="M20" i="2"/>
  <c r="N13" i="2"/>
  <c r="AL13" i="2"/>
  <c r="M22" i="2"/>
  <c r="AL22" i="2" s="1"/>
  <c r="E45" i="2"/>
  <c r="F15" i="2"/>
  <c r="F33" i="2" s="1"/>
  <c r="G11" i="2"/>
  <c r="G18" i="2" s="1"/>
  <c r="F24" i="2"/>
  <c r="F25" i="2"/>
  <c r="F26" i="2" s="1"/>
  <c r="I5" i="2"/>
  <c r="H6" i="2"/>
  <c r="N14" i="4"/>
  <c r="AL14" i="4"/>
  <c r="M20" i="4"/>
  <c r="M31" i="4" s="1"/>
  <c r="O13" i="4"/>
  <c r="N22" i="4"/>
  <c r="G11" i="4"/>
  <c r="F15" i="4"/>
  <c r="F33" i="4" s="1"/>
  <c r="G18" i="4"/>
  <c r="F24" i="4"/>
  <c r="F25" i="4"/>
  <c r="F26" i="4" s="1"/>
  <c r="E45" i="4"/>
  <c r="I5" i="4"/>
  <c r="H6" i="4"/>
  <c r="E42" i="2"/>
  <c r="E46" i="2" s="1"/>
  <c r="E42" i="4"/>
  <c r="E46" i="4" s="1"/>
  <c r="D48" i="3"/>
  <c r="E48" i="3" s="1"/>
  <c r="L31" i="4"/>
  <c r="AL31" i="4" s="1"/>
  <c r="AL20" i="4"/>
  <c r="F29" i="4"/>
  <c r="F30" i="4" s="1"/>
  <c r="G29" i="4"/>
  <c r="G30" i="4" s="1"/>
  <c r="P14" i="3" l="1"/>
  <c r="O20" i="3"/>
  <c r="O31" i="3" s="1"/>
  <c r="N31" i="3"/>
  <c r="P13" i="3"/>
  <c r="O22" i="3"/>
  <c r="J5" i="3"/>
  <c r="I6" i="3"/>
  <c r="H11" i="3"/>
  <c r="G15" i="3"/>
  <c r="H18" i="3"/>
  <c r="G24" i="3"/>
  <c r="G25" i="3"/>
  <c r="G26" i="3" s="1"/>
  <c r="F42" i="3"/>
  <c r="F46" i="3" s="1"/>
  <c r="F45" i="3"/>
  <c r="O14" i="2"/>
  <c r="N20" i="2"/>
  <c r="AL20" i="2"/>
  <c r="M31" i="2"/>
  <c r="AL31" i="2" s="1"/>
  <c r="O13" i="2"/>
  <c r="N22" i="2"/>
  <c r="E48" i="2"/>
  <c r="F42" i="2"/>
  <c r="F46" i="2" s="1"/>
  <c r="G24" i="2"/>
  <c r="G25" i="2"/>
  <c r="G26" i="2" s="1"/>
  <c r="H11" i="2"/>
  <c r="H18" i="2" s="1"/>
  <c r="G15" i="2"/>
  <c r="F45" i="2"/>
  <c r="J5" i="2"/>
  <c r="I6" i="2"/>
  <c r="O14" i="4"/>
  <c r="N20" i="4"/>
  <c r="P13" i="4"/>
  <c r="O22" i="4"/>
  <c r="H11" i="4"/>
  <c r="G15" i="4"/>
  <c r="H18" i="4"/>
  <c r="G24" i="4"/>
  <c r="G25" i="4"/>
  <c r="G26" i="4" s="1"/>
  <c r="F45" i="4"/>
  <c r="F46" i="4"/>
  <c r="E48" i="4"/>
  <c r="F48" i="4" s="1"/>
  <c r="J5" i="4"/>
  <c r="I6" i="4"/>
  <c r="G29" i="3"/>
  <c r="G30" i="3" s="1"/>
  <c r="G29" i="2"/>
  <c r="G30" i="2" s="1"/>
  <c r="F42" i="4"/>
  <c r="Q14" i="3" l="1"/>
  <c r="P20" i="3"/>
  <c r="Q13" i="3"/>
  <c r="P22" i="3"/>
  <c r="K5" i="3"/>
  <c r="J6" i="3"/>
  <c r="I11" i="3"/>
  <c r="H15" i="3"/>
  <c r="I18" i="3"/>
  <c r="G33" i="3"/>
  <c r="G32" i="3"/>
  <c r="H29" i="3"/>
  <c r="H30" i="3" s="1"/>
  <c r="H24" i="3"/>
  <c r="H25" i="3"/>
  <c r="H26" i="3" s="1"/>
  <c r="G45" i="3"/>
  <c r="F48" i="3"/>
  <c r="P14" i="2"/>
  <c r="O20" i="2"/>
  <c r="N31" i="2"/>
  <c r="P13" i="2"/>
  <c r="O22" i="2"/>
  <c r="G45" i="2"/>
  <c r="G46" i="2"/>
  <c r="H15" i="2"/>
  <c r="I11" i="2"/>
  <c r="I18" i="2" s="1"/>
  <c r="G32" i="2"/>
  <c r="G33" i="2"/>
  <c r="H29" i="2"/>
  <c r="H30" i="2" s="1"/>
  <c r="H24" i="2"/>
  <c r="H25" i="2"/>
  <c r="H26" i="2" s="1"/>
  <c r="K5" i="2"/>
  <c r="J6" i="2"/>
  <c r="P14" i="4"/>
  <c r="O20" i="4"/>
  <c r="O31" i="4" s="1"/>
  <c r="N31" i="4"/>
  <c r="Q13" i="4"/>
  <c r="P22" i="4"/>
  <c r="I11" i="4"/>
  <c r="H15" i="4"/>
  <c r="I18" i="4"/>
  <c r="G32" i="4"/>
  <c r="G33" i="4"/>
  <c r="H29" i="4"/>
  <c r="H30" i="4" s="1"/>
  <c r="H24" i="4"/>
  <c r="H25" i="4"/>
  <c r="H26" i="4" s="1"/>
  <c r="G45" i="4"/>
  <c r="K5" i="4"/>
  <c r="J6" i="4"/>
  <c r="G42" i="2"/>
  <c r="F48" i="2"/>
  <c r="R14" i="3" l="1"/>
  <c r="Q20" i="3"/>
  <c r="Q31" i="3" s="1"/>
  <c r="P31" i="3"/>
  <c r="R13" i="3"/>
  <c r="Q22" i="3"/>
  <c r="L5" i="3"/>
  <c r="K6" i="3"/>
  <c r="J11" i="3"/>
  <c r="I15" i="3"/>
  <c r="J18" i="3"/>
  <c r="H32" i="3"/>
  <c r="H33" i="3"/>
  <c r="I29" i="3"/>
  <c r="I30" i="3" s="1"/>
  <c r="I24" i="3"/>
  <c r="I25" i="3"/>
  <c r="I26" i="3" s="1"/>
  <c r="G42" i="3"/>
  <c r="H42" i="3"/>
  <c r="H45" i="3"/>
  <c r="H46" i="3"/>
  <c r="Q14" i="2"/>
  <c r="P20" i="2"/>
  <c r="Q13" i="2"/>
  <c r="P22" i="2"/>
  <c r="H32" i="2"/>
  <c r="H45" i="2" s="1"/>
  <c r="H33" i="2"/>
  <c r="I29" i="2"/>
  <c r="I30" i="2" s="1"/>
  <c r="I24" i="2"/>
  <c r="I25" i="2"/>
  <c r="I26" i="2" s="1"/>
  <c r="J11" i="2"/>
  <c r="J18" i="2" s="1"/>
  <c r="I15" i="2"/>
  <c r="L5" i="2"/>
  <c r="K6" i="2"/>
  <c r="Q14" i="4"/>
  <c r="P20" i="4"/>
  <c r="R13" i="4"/>
  <c r="Q22" i="4"/>
  <c r="J11" i="4"/>
  <c r="I15" i="4"/>
  <c r="J18" i="4"/>
  <c r="H32" i="4"/>
  <c r="H33" i="4"/>
  <c r="I29" i="4"/>
  <c r="I30" i="4" s="1"/>
  <c r="I24" i="4"/>
  <c r="I25" i="4"/>
  <c r="I26" i="4" s="1"/>
  <c r="G42" i="4"/>
  <c r="H42" i="4"/>
  <c r="H46" i="4"/>
  <c r="H45" i="4"/>
  <c r="L5" i="4"/>
  <c r="K6" i="4"/>
  <c r="G48" i="2"/>
  <c r="O31" i="2"/>
  <c r="S14" i="3" l="1"/>
  <c r="R20" i="3"/>
  <c r="S13" i="3"/>
  <c r="R22" i="3"/>
  <c r="M5" i="3"/>
  <c r="AL5" i="3" s="1"/>
  <c r="L6" i="3"/>
  <c r="K11" i="3"/>
  <c r="J15" i="3"/>
  <c r="K18" i="3"/>
  <c r="I33" i="3"/>
  <c r="I32" i="3"/>
  <c r="J29" i="3"/>
  <c r="J30" i="3" s="1"/>
  <c r="J24" i="3"/>
  <c r="J25" i="3"/>
  <c r="J26" i="3" s="1"/>
  <c r="I45" i="3"/>
  <c r="G46" i="3"/>
  <c r="R14" i="2"/>
  <c r="Q20" i="2"/>
  <c r="R13" i="2"/>
  <c r="Q22" i="2"/>
  <c r="H42" i="2"/>
  <c r="J15" i="2"/>
  <c r="K11" i="2"/>
  <c r="K18" i="2" s="1"/>
  <c r="I32" i="2"/>
  <c r="I33" i="2"/>
  <c r="J29" i="2"/>
  <c r="J30" i="2" s="1"/>
  <c r="J24" i="2"/>
  <c r="J25" i="2"/>
  <c r="J26" i="2" s="1"/>
  <c r="M5" i="2"/>
  <c r="AL5" i="2" s="1"/>
  <c r="L6" i="2"/>
  <c r="R14" i="4"/>
  <c r="Q20" i="4"/>
  <c r="Q31" i="4" s="1"/>
  <c r="P31" i="4"/>
  <c r="S13" i="4"/>
  <c r="R22" i="4"/>
  <c r="K11" i="4"/>
  <c r="J15" i="4"/>
  <c r="K18" i="4"/>
  <c r="I32" i="4"/>
  <c r="I33" i="4"/>
  <c r="J29" i="4"/>
  <c r="J30" i="4" s="1"/>
  <c r="J24" i="4"/>
  <c r="J25" i="4"/>
  <c r="J26" i="4" s="1"/>
  <c r="I45" i="4"/>
  <c r="G46" i="4"/>
  <c r="M5" i="4"/>
  <c r="AL5" i="4" s="1"/>
  <c r="L6" i="4"/>
  <c r="P31" i="2"/>
  <c r="T14" i="3" l="1"/>
  <c r="S20" i="3"/>
  <c r="S31" i="3" s="1"/>
  <c r="R31" i="3"/>
  <c r="T13" i="3"/>
  <c r="S22" i="3"/>
  <c r="N5" i="3"/>
  <c r="M6" i="3"/>
  <c r="AL6" i="3" s="1"/>
  <c r="L11" i="3"/>
  <c r="K15" i="3"/>
  <c r="L18" i="3"/>
  <c r="J32" i="3"/>
  <c r="J33" i="3"/>
  <c r="K29" i="3"/>
  <c r="K30" i="3" s="1"/>
  <c r="K24" i="3"/>
  <c r="K25" i="3"/>
  <c r="K26" i="3" s="1"/>
  <c r="I42" i="3"/>
  <c r="J42" i="3"/>
  <c r="J46" i="3" s="1"/>
  <c r="J45" i="3"/>
  <c r="G48" i="3"/>
  <c r="H48" i="3" s="1"/>
  <c r="S14" i="2"/>
  <c r="R20" i="2"/>
  <c r="R31" i="2" s="1"/>
  <c r="S13" i="2"/>
  <c r="R22" i="2"/>
  <c r="H46" i="2"/>
  <c r="J32" i="2"/>
  <c r="J33" i="2"/>
  <c r="K29" i="2"/>
  <c r="K30" i="2" s="1"/>
  <c r="K24" i="2"/>
  <c r="K25" i="2"/>
  <c r="K26" i="2" s="1"/>
  <c r="L11" i="2"/>
  <c r="K15" i="2"/>
  <c r="L18" i="2"/>
  <c r="J45" i="2"/>
  <c r="N5" i="2"/>
  <c r="M6" i="2"/>
  <c r="AL6" i="2" s="1"/>
  <c r="S14" i="4"/>
  <c r="R20" i="4"/>
  <c r="T13" i="4"/>
  <c r="S22" i="4"/>
  <c r="L11" i="4"/>
  <c r="K15" i="4"/>
  <c r="L18" i="4"/>
  <c r="J32" i="4"/>
  <c r="J33" i="4"/>
  <c r="K29" i="4"/>
  <c r="K30" i="4" s="1"/>
  <c r="K24" i="4"/>
  <c r="K25" i="4"/>
  <c r="K26" i="4" s="1"/>
  <c r="I42" i="4"/>
  <c r="J42" i="4"/>
  <c r="J45" i="4"/>
  <c r="J46" i="4"/>
  <c r="G48" i="4"/>
  <c r="H48" i="4" s="1"/>
  <c r="N5" i="4"/>
  <c r="M6" i="4"/>
  <c r="AL6" i="4" s="1"/>
  <c r="Q31" i="2"/>
  <c r="I42" i="2"/>
  <c r="I45" i="2"/>
  <c r="U14" i="3" l="1"/>
  <c r="T20" i="3"/>
  <c r="U13" i="3"/>
  <c r="T22" i="3"/>
  <c r="O5" i="3"/>
  <c r="N6" i="3"/>
  <c r="M11" i="3"/>
  <c r="L15" i="3"/>
  <c r="M18" i="3"/>
  <c r="K33" i="3"/>
  <c r="K32" i="3"/>
  <c r="AL18" i="3"/>
  <c r="L29" i="3"/>
  <c r="L30" i="3" s="1"/>
  <c r="L24" i="3"/>
  <c r="L25" i="3"/>
  <c r="L26" i="3" s="1"/>
  <c r="K45" i="3"/>
  <c r="I46" i="3"/>
  <c r="T14" i="2"/>
  <c r="S20" i="2"/>
  <c r="T13" i="2"/>
  <c r="S22" i="2"/>
  <c r="H48" i="2"/>
  <c r="I48" i="2" s="1"/>
  <c r="J48" i="2" s="1"/>
  <c r="L15" i="2"/>
  <c r="M11" i="2"/>
  <c r="M18" i="2" s="1"/>
  <c r="K32" i="2"/>
  <c r="K33" i="2"/>
  <c r="L29" i="2"/>
  <c r="L30" i="2" s="1"/>
  <c r="L24" i="2"/>
  <c r="L25" i="2"/>
  <c r="L26" i="2" s="1"/>
  <c r="O5" i="2"/>
  <c r="N6" i="2"/>
  <c r="T14" i="4"/>
  <c r="S20" i="4"/>
  <c r="S31" i="4" s="1"/>
  <c r="R31" i="4"/>
  <c r="U13" i="4"/>
  <c r="T22" i="4"/>
  <c r="L15" i="4"/>
  <c r="M10" i="4"/>
  <c r="M11" i="4" s="1"/>
  <c r="M18" i="4" s="1"/>
  <c r="K32" i="4"/>
  <c r="K45" i="4" s="1"/>
  <c r="K33" i="4"/>
  <c r="L29" i="4"/>
  <c r="L30" i="4" s="1"/>
  <c r="L24" i="4"/>
  <c r="L25" i="4"/>
  <c r="L26" i="4" s="1"/>
  <c r="I46" i="4"/>
  <c r="O5" i="4"/>
  <c r="N6" i="4"/>
  <c r="J42" i="2"/>
  <c r="J46" i="2" s="1"/>
  <c r="I46" i="2"/>
  <c r="V14" i="3" l="1"/>
  <c r="U20" i="3"/>
  <c r="T31" i="3"/>
  <c r="V13" i="3"/>
  <c r="U22" i="3"/>
  <c r="P5" i="3"/>
  <c r="O6" i="3"/>
  <c r="AL11" i="3"/>
  <c r="M15" i="3"/>
  <c r="N10" i="3"/>
  <c r="N11" i="3" s="1"/>
  <c r="N18" i="3" s="1"/>
  <c r="L32" i="3"/>
  <c r="L33" i="3"/>
  <c r="M29" i="3"/>
  <c r="M30" i="3" s="1"/>
  <c r="M24" i="3"/>
  <c r="M25" i="3"/>
  <c r="K42" i="3"/>
  <c r="AL30" i="3"/>
  <c r="L42" i="3"/>
  <c r="L45" i="3"/>
  <c r="L46" i="3"/>
  <c r="I48" i="3"/>
  <c r="J48" i="3" s="1"/>
  <c r="U14" i="2"/>
  <c r="T20" i="2"/>
  <c r="T31" i="2" s="1"/>
  <c r="S31" i="2"/>
  <c r="U13" i="2"/>
  <c r="T22" i="2"/>
  <c r="L32" i="2"/>
  <c r="L33" i="2"/>
  <c r="AL18" i="2"/>
  <c r="M29" i="2"/>
  <c r="M30" i="2" s="1"/>
  <c r="M24" i="2"/>
  <c r="M25" i="2"/>
  <c r="AL11" i="2"/>
  <c r="N10" i="2"/>
  <c r="N11" i="2"/>
  <c r="M15" i="2"/>
  <c r="N18" i="2"/>
  <c r="L45" i="2"/>
  <c r="P5" i="2"/>
  <c r="O6" i="2"/>
  <c r="U14" i="4"/>
  <c r="T20" i="4"/>
  <c r="V13" i="4"/>
  <c r="U22" i="4"/>
  <c r="AL11" i="4"/>
  <c r="M15" i="4"/>
  <c r="N10" i="4"/>
  <c r="N11" i="4" s="1"/>
  <c r="N18" i="4" s="1"/>
  <c r="L32" i="4"/>
  <c r="L33" i="4"/>
  <c r="AL10" i="4"/>
  <c r="M12" i="4"/>
  <c r="K42" i="4"/>
  <c r="I48" i="4"/>
  <c r="J48" i="4" s="1"/>
  <c r="P5" i="4"/>
  <c r="O6" i="4"/>
  <c r="K42" i="2"/>
  <c r="K45" i="2"/>
  <c r="AL18" i="4"/>
  <c r="W14" i="3" l="1"/>
  <c r="V20" i="3"/>
  <c r="W13" i="3"/>
  <c r="V22" i="3"/>
  <c r="Q5" i="3"/>
  <c r="P6" i="3"/>
  <c r="N15" i="3"/>
  <c r="O10" i="3"/>
  <c r="M33" i="3"/>
  <c r="AL33" i="3" s="1"/>
  <c r="M32" i="3"/>
  <c r="AL15" i="3"/>
  <c r="C4" i="5" s="1"/>
  <c r="N12" i="3"/>
  <c r="AL24" i="3"/>
  <c r="C9" i="5"/>
  <c r="M26" i="3"/>
  <c r="AL26" i="3" s="1"/>
  <c r="C12" i="5" s="1"/>
  <c r="AL25" i="3"/>
  <c r="K46" i="3"/>
  <c r="V14" i="2"/>
  <c r="U20" i="2"/>
  <c r="V13" i="2"/>
  <c r="U22" i="2"/>
  <c r="L42" i="2"/>
  <c r="L46" i="2" s="1"/>
  <c r="AL30" i="2"/>
  <c r="AL24" i="2"/>
  <c r="B9" i="5"/>
  <c r="AL25" i="2"/>
  <c r="M26" i="2"/>
  <c r="AL26" i="2" s="1"/>
  <c r="B12" i="5" s="1"/>
  <c r="N12" i="2"/>
  <c r="N15" i="2"/>
  <c r="O10" i="2"/>
  <c r="AL15" i="2"/>
  <c r="B4" i="5" s="1"/>
  <c r="M32" i="2"/>
  <c r="M33" i="2"/>
  <c r="AL33" i="2" s="1"/>
  <c r="Q5" i="2"/>
  <c r="P6" i="2"/>
  <c r="V14" i="4"/>
  <c r="U20" i="4"/>
  <c r="U31" i="4" s="1"/>
  <c r="T31" i="4"/>
  <c r="W13" i="4"/>
  <c r="V22" i="4"/>
  <c r="O10" i="4"/>
  <c r="O11" i="4" s="1"/>
  <c r="O18" i="4" s="1"/>
  <c r="AL15" i="4"/>
  <c r="D4" i="5" s="1"/>
  <c r="M32" i="4"/>
  <c r="M33" i="4"/>
  <c r="AL33" i="4" s="1"/>
  <c r="N12" i="4"/>
  <c r="N15" i="4" s="1"/>
  <c r="AL12" i="4"/>
  <c r="M19" i="4"/>
  <c r="N29" i="4" s="1"/>
  <c r="N30" i="4" s="1"/>
  <c r="N19" i="4"/>
  <c r="K46" i="4"/>
  <c r="Q5" i="4"/>
  <c r="P6" i="4"/>
  <c r="K46" i="2"/>
  <c r="U31" i="3"/>
  <c r="AL32" i="4"/>
  <c r="L42" i="4"/>
  <c r="L45" i="4"/>
  <c r="X14" i="3" l="1"/>
  <c r="W20" i="3"/>
  <c r="W31" i="3" s="1"/>
  <c r="X13" i="3"/>
  <c r="W22" i="3"/>
  <c r="R5" i="3"/>
  <c r="Q6" i="3"/>
  <c r="N32" i="3"/>
  <c r="N33" i="3"/>
  <c r="AL32" i="3"/>
  <c r="M42" i="3"/>
  <c r="O12" i="3"/>
  <c r="O19" i="3"/>
  <c r="N19" i="3"/>
  <c r="K48" i="3"/>
  <c r="L48" i="3" s="1"/>
  <c r="W14" i="2"/>
  <c r="V20" i="2"/>
  <c r="V31" i="2" s="1"/>
  <c r="U31" i="2"/>
  <c r="W13" i="2"/>
  <c r="V22" i="2"/>
  <c r="O12" i="2"/>
  <c r="N19" i="2"/>
  <c r="O19" i="2"/>
  <c r="N32" i="2"/>
  <c r="N33" i="2"/>
  <c r="R5" i="2"/>
  <c r="Q6" i="2"/>
  <c r="W14" i="4"/>
  <c r="V20" i="4"/>
  <c r="X13" i="4"/>
  <c r="W22" i="4"/>
  <c r="P10" i="4"/>
  <c r="P11" i="4" s="1"/>
  <c r="P18" i="4" s="1"/>
  <c r="N32" i="4"/>
  <c r="N33" i="4"/>
  <c r="N42" i="4"/>
  <c r="O12" i="4"/>
  <c r="O15" i="4" s="1"/>
  <c r="O19" i="4"/>
  <c r="M25" i="4"/>
  <c r="M24" i="4"/>
  <c r="M29" i="4"/>
  <c r="M30" i="4" s="1"/>
  <c r="AL19" i="4"/>
  <c r="K48" i="4"/>
  <c r="L48" i="4" s="1"/>
  <c r="R5" i="4"/>
  <c r="Q6" i="4"/>
  <c r="K48" i="2"/>
  <c r="L48" i="2" s="1"/>
  <c r="V31" i="3"/>
  <c r="O11" i="3"/>
  <c r="AL45" i="3"/>
  <c r="C17" i="5" s="1"/>
  <c r="M45" i="3"/>
  <c r="O11" i="2"/>
  <c r="M45" i="2"/>
  <c r="AL32" i="2"/>
  <c r="M42" i="2"/>
  <c r="AL45" i="2"/>
  <c r="B17" i="5" s="1"/>
  <c r="N25" i="4"/>
  <c r="N26" i="4" s="1"/>
  <c r="N24" i="4"/>
  <c r="L46" i="4"/>
  <c r="Y14" i="3" l="1"/>
  <c r="X20" i="3"/>
  <c r="Y13" i="3"/>
  <c r="X22" i="3"/>
  <c r="S5" i="3"/>
  <c r="R6" i="3"/>
  <c r="AL42" i="3"/>
  <c r="M46" i="3"/>
  <c r="P12" i="3"/>
  <c r="P19" i="3"/>
  <c r="N25" i="3"/>
  <c r="N26" i="3" s="1"/>
  <c r="N24" i="3"/>
  <c r="N29" i="3"/>
  <c r="N30" i="3" s="1"/>
  <c r="X14" i="2"/>
  <c r="W20" i="2"/>
  <c r="X13" i="2"/>
  <c r="W22" i="2"/>
  <c r="P12" i="2"/>
  <c r="P19" i="2" s="1"/>
  <c r="N25" i="2"/>
  <c r="N26" i="2" s="1"/>
  <c r="N24" i="2"/>
  <c r="N29" i="2"/>
  <c r="N30" i="2" s="1"/>
  <c r="S5" i="2"/>
  <c r="R6" i="2"/>
  <c r="X14" i="4"/>
  <c r="W20" i="4"/>
  <c r="W31" i="4" s="1"/>
  <c r="V31" i="4"/>
  <c r="Y13" i="4"/>
  <c r="X22" i="4"/>
  <c r="Q10" i="4"/>
  <c r="Q11" i="4" s="1"/>
  <c r="Q18" i="4" s="1"/>
  <c r="O32" i="4"/>
  <c r="O33" i="4"/>
  <c r="P29" i="4"/>
  <c r="P30" i="4" s="1"/>
  <c r="P12" i="4"/>
  <c r="P15" i="4" s="1"/>
  <c r="P19" i="4"/>
  <c r="P25" i="4" s="1"/>
  <c r="P26" i="4" s="1"/>
  <c r="M26" i="4"/>
  <c r="AL26" i="4" s="1"/>
  <c r="D12" i="5" s="1"/>
  <c r="AL25" i="4"/>
  <c r="M45" i="4"/>
  <c r="AL45" i="4"/>
  <c r="D17" i="5" s="1"/>
  <c r="D9" i="5"/>
  <c r="AL24" i="4"/>
  <c r="AL30" i="4"/>
  <c r="M42" i="4"/>
  <c r="S5" i="4"/>
  <c r="R6" i="4"/>
  <c r="P10" i="3"/>
  <c r="P11" i="3" s="1"/>
  <c r="P18" i="3" s="1"/>
  <c r="O15" i="3"/>
  <c r="O18" i="3"/>
  <c r="P10" i="2"/>
  <c r="P11" i="2" s="1"/>
  <c r="P18" i="2" s="1"/>
  <c r="O15" i="2"/>
  <c r="O18" i="2"/>
  <c r="M46" i="2"/>
  <c r="AL42" i="2"/>
  <c r="N46" i="4"/>
  <c r="N45" i="4"/>
  <c r="O29" i="4"/>
  <c r="O30" i="4" s="1"/>
  <c r="O24" i="4"/>
  <c r="O25" i="4"/>
  <c r="O26" i="4" s="1"/>
  <c r="Z14" i="3" l="1"/>
  <c r="AM14" i="3"/>
  <c r="Y20" i="3"/>
  <c r="Y31" i="3" s="1"/>
  <c r="AM20" i="3"/>
  <c r="X31" i="3"/>
  <c r="AM31" i="3" s="1"/>
  <c r="Z13" i="3"/>
  <c r="AM13" i="3"/>
  <c r="Y22" i="3"/>
  <c r="AM22" i="3" s="1"/>
  <c r="T5" i="3"/>
  <c r="S6" i="3"/>
  <c r="AL46" i="3"/>
  <c r="M48" i="3"/>
  <c r="C20" i="5"/>
  <c r="Q12" i="3"/>
  <c r="Q19" i="3"/>
  <c r="N46" i="3"/>
  <c r="N45" i="3"/>
  <c r="N42" i="3"/>
  <c r="Y14" i="2"/>
  <c r="X20" i="2"/>
  <c r="X31" i="2" s="1"/>
  <c r="W31" i="2"/>
  <c r="Y13" i="2"/>
  <c r="X22" i="2"/>
  <c r="Q12" i="2"/>
  <c r="Q19" i="2"/>
  <c r="N46" i="2"/>
  <c r="N45" i="2"/>
  <c r="N42" i="2"/>
  <c r="T5" i="2"/>
  <c r="S6" i="2"/>
  <c r="Y14" i="4"/>
  <c r="X20" i="4"/>
  <c r="Z13" i="4"/>
  <c r="AM13" i="4"/>
  <c r="Y22" i="4"/>
  <c r="AM22" i="4" s="1"/>
  <c r="R10" i="4"/>
  <c r="R11" i="4" s="1"/>
  <c r="R18" i="4" s="1"/>
  <c r="P32" i="4"/>
  <c r="P33" i="4"/>
  <c r="P45" i="4"/>
  <c r="Q12" i="4"/>
  <c r="Q15" i="4" s="1"/>
  <c r="Q19" i="4"/>
  <c r="T5" i="4"/>
  <c r="S6" i="4"/>
  <c r="P29" i="3"/>
  <c r="P30" i="3" s="1"/>
  <c r="P24" i="3"/>
  <c r="P25" i="3"/>
  <c r="P26" i="3" s="1"/>
  <c r="O32" i="3"/>
  <c r="O33" i="3"/>
  <c r="P15" i="3"/>
  <c r="Q10" i="3"/>
  <c r="Q11" i="3" s="1"/>
  <c r="Q18" i="3" s="1"/>
  <c r="O25" i="3"/>
  <c r="O26" i="3" s="1"/>
  <c r="O24" i="3"/>
  <c r="O29" i="3"/>
  <c r="O30" i="3" s="1"/>
  <c r="O42" i="3" s="1"/>
  <c r="P15" i="2"/>
  <c r="Q10" i="2"/>
  <c r="Q11" i="2" s="1"/>
  <c r="Q18" i="2" s="1"/>
  <c r="P29" i="2"/>
  <c r="P30" i="2" s="1"/>
  <c r="P24" i="2"/>
  <c r="P25" i="2"/>
  <c r="P26" i="2" s="1"/>
  <c r="O32" i="2"/>
  <c r="O33" i="2"/>
  <c r="O25" i="2"/>
  <c r="O26" i="2" s="1"/>
  <c r="O24" i="2"/>
  <c r="O29" i="2"/>
  <c r="O30" i="2" s="1"/>
  <c r="AL46" i="2"/>
  <c r="M48" i="2"/>
  <c r="B20" i="5"/>
  <c r="O42" i="4"/>
  <c r="O46" i="4"/>
  <c r="O45" i="4"/>
  <c r="AL42" i="4"/>
  <c r="M46" i="4"/>
  <c r="AA14" i="3" l="1"/>
  <c r="Z20" i="3"/>
  <c r="AA13" i="3"/>
  <c r="Z22" i="3"/>
  <c r="U5" i="3"/>
  <c r="T6" i="3"/>
  <c r="N48" i="3"/>
  <c r="O48" i="3" s="1"/>
  <c r="AL48" i="3"/>
  <c r="C25" i="5" s="1"/>
  <c r="Z14" i="2"/>
  <c r="AM14" i="2"/>
  <c r="Y20" i="2"/>
  <c r="Z13" i="2"/>
  <c r="AM13" i="2"/>
  <c r="Y22" i="2"/>
  <c r="AM22" i="2" s="1"/>
  <c r="U5" i="2"/>
  <c r="T6" i="2"/>
  <c r="Z14" i="4"/>
  <c r="AM14" i="4"/>
  <c r="Y20" i="4"/>
  <c r="Y31" i="4" s="1"/>
  <c r="AM20" i="4"/>
  <c r="X31" i="4"/>
  <c r="AM31" i="4" s="1"/>
  <c r="AA13" i="4"/>
  <c r="Z22" i="4"/>
  <c r="S10" i="4"/>
  <c r="S11" i="4" s="1"/>
  <c r="S18" i="4" s="1"/>
  <c r="Q32" i="4"/>
  <c r="Q33" i="4"/>
  <c r="P42" i="4"/>
  <c r="R12" i="4"/>
  <c r="R15" i="4" s="1"/>
  <c r="R19" i="4"/>
  <c r="U5" i="4"/>
  <c r="T6" i="4"/>
  <c r="Q15" i="3"/>
  <c r="R10" i="3"/>
  <c r="P33" i="3"/>
  <c r="P32" i="3"/>
  <c r="P45" i="3" s="1"/>
  <c r="Q29" i="3"/>
  <c r="Q30" i="3" s="1"/>
  <c r="Q25" i="3"/>
  <c r="Q26" i="3" s="1"/>
  <c r="Q24" i="3"/>
  <c r="O45" i="3"/>
  <c r="O46" i="3"/>
  <c r="Q15" i="2"/>
  <c r="R10" i="2"/>
  <c r="P32" i="2"/>
  <c r="P45" i="2" s="1"/>
  <c r="P33" i="2"/>
  <c r="Q29" i="2"/>
  <c r="Q30" i="2" s="1"/>
  <c r="Q24" i="2"/>
  <c r="Q25" i="2"/>
  <c r="Q26" i="2" s="1"/>
  <c r="O45" i="2"/>
  <c r="O46" i="2"/>
  <c r="N48" i="2"/>
  <c r="O48" i="2" s="1"/>
  <c r="AL48" i="2"/>
  <c r="B25" i="5" s="1"/>
  <c r="D20" i="5"/>
  <c r="AL46" i="4"/>
  <c r="M48" i="4"/>
  <c r="Q29" i="4"/>
  <c r="Q30" i="4" s="1"/>
  <c r="Q24" i="4"/>
  <c r="Q25" i="4"/>
  <c r="Q26" i="4" s="1"/>
  <c r="O42" i="2"/>
  <c r="AB14" i="3" l="1"/>
  <c r="AA20" i="3"/>
  <c r="AA31" i="3" s="1"/>
  <c r="Z31" i="3"/>
  <c r="AB13" i="3"/>
  <c r="AA22" i="3"/>
  <c r="V5" i="3"/>
  <c r="U6" i="3"/>
  <c r="AA14" i="2"/>
  <c r="Z20" i="2"/>
  <c r="AM20" i="2"/>
  <c r="Y31" i="2"/>
  <c r="AM31" i="2" s="1"/>
  <c r="AA13" i="2"/>
  <c r="Z22" i="2"/>
  <c r="V5" i="2"/>
  <c r="U6" i="2"/>
  <c r="AA14" i="4"/>
  <c r="Z20" i="4"/>
  <c r="AB13" i="4"/>
  <c r="AA22" i="4"/>
  <c r="T11" i="4"/>
  <c r="T18" i="4" s="1"/>
  <c r="S15" i="4"/>
  <c r="T10" i="4"/>
  <c r="R32" i="4"/>
  <c r="R33" i="4"/>
  <c r="P46" i="4"/>
  <c r="S12" i="4"/>
  <c r="S19" i="4"/>
  <c r="V5" i="4"/>
  <c r="U6" i="4"/>
  <c r="Q32" i="3"/>
  <c r="Q45" i="3" s="1"/>
  <c r="Q33" i="3"/>
  <c r="P42" i="3"/>
  <c r="Q42" i="3"/>
  <c r="Q46" i="3" s="1"/>
  <c r="Q32" i="2"/>
  <c r="Q33" i="2"/>
  <c r="P42" i="2"/>
  <c r="Q45" i="2"/>
  <c r="N48" i="4"/>
  <c r="O48" i="4" s="1"/>
  <c r="P48" i="4" s="1"/>
  <c r="AL48" i="4"/>
  <c r="D25" i="5" s="1"/>
  <c r="Q42" i="4"/>
  <c r="Q45" i="4"/>
  <c r="Q46" i="4"/>
  <c r="R29" i="4"/>
  <c r="R30" i="4" s="1"/>
  <c r="R24" i="4"/>
  <c r="R25" i="4"/>
  <c r="R26" i="4" s="1"/>
  <c r="R12" i="3"/>
  <c r="R11" i="3"/>
  <c r="R12" i="2"/>
  <c r="R11" i="2"/>
  <c r="AC14" i="3" l="1"/>
  <c r="AB20" i="3"/>
  <c r="AC13" i="3"/>
  <c r="AB22" i="3"/>
  <c r="W5" i="3"/>
  <c r="V6" i="3"/>
  <c r="AB14" i="2"/>
  <c r="AA20" i="2"/>
  <c r="AA31" i="2" s="1"/>
  <c r="Z31" i="2"/>
  <c r="AB13" i="2"/>
  <c r="AA22" i="2"/>
  <c r="W5" i="2"/>
  <c r="V6" i="2"/>
  <c r="AB14" i="4"/>
  <c r="AA20" i="4"/>
  <c r="AA31" i="4" s="1"/>
  <c r="Z31" i="4"/>
  <c r="AC13" i="4"/>
  <c r="AB22" i="4"/>
  <c r="T15" i="4"/>
  <c r="U10" i="4"/>
  <c r="U11" i="4" s="1"/>
  <c r="U18" i="4" s="1"/>
  <c r="S32" i="4"/>
  <c r="S33" i="4"/>
  <c r="T29" i="4"/>
  <c r="T30" i="4" s="1"/>
  <c r="T24" i="4"/>
  <c r="T12" i="4"/>
  <c r="T19" i="4"/>
  <c r="T25" i="4" s="1"/>
  <c r="T26" i="4" s="1"/>
  <c r="W5" i="4"/>
  <c r="V6" i="4"/>
  <c r="P46" i="3"/>
  <c r="P46" i="2"/>
  <c r="R45" i="4"/>
  <c r="R46" i="4"/>
  <c r="R19" i="3"/>
  <c r="S10" i="3"/>
  <c r="S12" i="3" s="1"/>
  <c r="S19" i="3" s="1"/>
  <c r="R15" i="3"/>
  <c r="S11" i="3"/>
  <c r="S18" i="3" s="1"/>
  <c r="R18" i="3"/>
  <c r="R19" i="2"/>
  <c r="S10" i="2"/>
  <c r="S12" i="2" s="1"/>
  <c r="S19" i="2" s="1"/>
  <c r="R15" i="2"/>
  <c r="S11" i="2"/>
  <c r="S18" i="2" s="1"/>
  <c r="R18" i="2"/>
  <c r="Q42" i="2"/>
  <c r="Q46" i="2" s="1"/>
  <c r="Q48" i="4"/>
  <c r="S29" i="4"/>
  <c r="S30" i="4" s="1"/>
  <c r="S24" i="4"/>
  <c r="S25" i="4"/>
  <c r="S26" i="4" s="1"/>
  <c r="R42" i="4"/>
  <c r="AD14" i="3" l="1"/>
  <c r="AC20" i="3"/>
  <c r="AC31" i="3" s="1"/>
  <c r="AB31" i="3"/>
  <c r="AD13" i="3"/>
  <c r="AC22" i="3"/>
  <c r="X5" i="3"/>
  <c r="W6" i="3"/>
  <c r="AC14" i="2"/>
  <c r="AB20" i="2"/>
  <c r="AC13" i="2"/>
  <c r="AB22" i="2"/>
  <c r="X5" i="2"/>
  <c r="W6" i="2"/>
  <c r="AC14" i="4"/>
  <c r="AB20" i="4"/>
  <c r="AD13" i="4"/>
  <c r="AC22" i="4"/>
  <c r="V10" i="4"/>
  <c r="V11" i="4" s="1"/>
  <c r="V18" i="4" s="1"/>
  <c r="T32" i="4"/>
  <c r="T33" i="4"/>
  <c r="T45" i="4"/>
  <c r="U12" i="4"/>
  <c r="U15" i="4" s="1"/>
  <c r="U19" i="4"/>
  <c r="X5" i="4"/>
  <c r="W6" i="4"/>
  <c r="P48" i="3"/>
  <c r="Q48" i="3" s="1"/>
  <c r="P48" i="2"/>
  <c r="Q48" i="2" s="1"/>
  <c r="S29" i="3"/>
  <c r="S30" i="3" s="1"/>
  <c r="S25" i="3"/>
  <c r="S26" i="3" s="1"/>
  <c r="S24" i="3"/>
  <c r="R33" i="3"/>
  <c r="R32" i="3"/>
  <c r="S15" i="3"/>
  <c r="T10" i="3"/>
  <c r="R24" i="3"/>
  <c r="R25" i="3"/>
  <c r="R26" i="3" s="1"/>
  <c r="R29" i="3"/>
  <c r="R30" i="3" s="1"/>
  <c r="S29" i="2"/>
  <c r="S30" i="2" s="1"/>
  <c r="S24" i="2"/>
  <c r="S25" i="2"/>
  <c r="S26" i="2" s="1"/>
  <c r="R32" i="2"/>
  <c r="R33" i="2"/>
  <c r="S15" i="2"/>
  <c r="T10" i="2"/>
  <c r="R25" i="2"/>
  <c r="R26" i="2" s="1"/>
  <c r="R24" i="2"/>
  <c r="R29" i="2"/>
  <c r="R30" i="2" s="1"/>
  <c r="S45" i="4"/>
  <c r="R48" i="4"/>
  <c r="S42" i="4"/>
  <c r="S46" i="4" s="1"/>
  <c r="AE14" i="3" l="1"/>
  <c r="AD20" i="3"/>
  <c r="AE13" i="3"/>
  <c r="AD22" i="3"/>
  <c r="Y5" i="3"/>
  <c r="AM5" i="3" s="1"/>
  <c r="X6" i="3"/>
  <c r="AD14" i="2"/>
  <c r="AC20" i="2"/>
  <c r="AB31" i="2"/>
  <c r="AD13" i="2"/>
  <c r="AC22" i="2"/>
  <c r="Y5" i="2"/>
  <c r="AM5" i="2" s="1"/>
  <c r="X6" i="2"/>
  <c r="AD14" i="4"/>
  <c r="AC20" i="4"/>
  <c r="AB31" i="4"/>
  <c r="AE13" i="4"/>
  <c r="AD22" i="4"/>
  <c r="W10" i="4"/>
  <c r="W11" i="4" s="1"/>
  <c r="W18" i="4" s="1"/>
  <c r="U32" i="4"/>
  <c r="U33" i="4"/>
  <c r="T42" i="4"/>
  <c r="V12" i="4"/>
  <c r="Y5" i="4"/>
  <c r="AM5" i="4" s="1"/>
  <c r="X6" i="4"/>
  <c r="S32" i="3"/>
  <c r="S45" i="3" s="1"/>
  <c r="S33" i="3"/>
  <c r="R45" i="3"/>
  <c r="R42" i="3"/>
  <c r="R46" i="3" s="1"/>
  <c r="S32" i="2"/>
  <c r="S45" i="2" s="1"/>
  <c r="S33" i="2"/>
  <c r="R45" i="2"/>
  <c r="R42" i="2"/>
  <c r="R46" i="2" s="1"/>
  <c r="U29" i="4"/>
  <c r="U30" i="4" s="1"/>
  <c r="U25" i="4"/>
  <c r="U26" i="4" s="1"/>
  <c r="U24" i="4"/>
  <c r="T12" i="3"/>
  <c r="T11" i="3"/>
  <c r="T12" i="2"/>
  <c r="T11" i="2"/>
  <c r="S48" i="4"/>
  <c r="AF14" i="3" l="1"/>
  <c r="AE20" i="3"/>
  <c r="AE31" i="3" s="1"/>
  <c r="AD31" i="3"/>
  <c r="AF13" i="3"/>
  <c r="AE22" i="3"/>
  <c r="Z5" i="3"/>
  <c r="Y6" i="3"/>
  <c r="AM6" i="3" s="1"/>
  <c r="AE14" i="2"/>
  <c r="AD20" i="2"/>
  <c r="AE13" i="2"/>
  <c r="AD22" i="2"/>
  <c r="Z5" i="2"/>
  <c r="Y6" i="2"/>
  <c r="AM6" i="2" s="1"/>
  <c r="AE14" i="4"/>
  <c r="AD20" i="4"/>
  <c r="AF13" i="4"/>
  <c r="AE22" i="4"/>
  <c r="X10" i="4"/>
  <c r="X11" i="4" s="1"/>
  <c r="X18" i="4" s="1"/>
  <c r="T46" i="4"/>
  <c r="W12" i="4"/>
  <c r="W15" i="4" s="1"/>
  <c r="W19" i="4"/>
  <c r="Z5" i="4"/>
  <c r="Y6" i="4"/>
  <c r="AM6" i="4" s="1"/>
  <c r="S42" i="3"/>
  <c r="R48" i="3"/>
  <c r="S42" i="2"/>
  <c r="R48" i="2"/>
  <c r="U42" i="4"/>
  <c r="U45" i="4"/>
  <c r="U46" i="4"/>
  <c r="T19" i="3"/>
  <c r="U10" i="3"/>
  <c r="U12" i="3" s="1"/>
  <c r="U19" i="3" s="1"/>
  <c r="T15" i="3"/>
  <c r="U11" i="3"/>
  <c r="U18" i="3" s="1"/>
  <c r="T18" i="3"/>
  <c r="T19" i="2"/>
  <c r="T15" i="2"/>
  <c r="U10" i="2"/>
  <c r="T18" i="2"/>
  <c r="AC31" i="2"/>
  <c r="AC31" i="4"/>
  <c r="V15" i="4"/>
  <c r="V19" i="4"/>
  <c r="AG14" i="3" l="1"/>
  <c r="AF20" i="3"/>
  <c r="AG13" i="3"/>
  <c r="AF22" i="3"/>
  <c r="AA5" i="3"/>
  <c r="Z6" i="3"/>
  <c r="AF14" i="2"/>
  <c r="AE20" i="2"/>
  <c r="AF13" i="2"/>
  <c r="AE22" i="2"/>
  <c r="AA5" i="2"/>
  <c r="Z6" i="2"/>
  <c r="AF14" i="4"/>
  <c r="AE20" i="4"/>
  <c r="AG13" i="4"/>
  <c r="AF22" i="4"/>
  <c r="Y10" i="4"/>
  <c r="W32" i="4"/>
  <c r="W33" i="4"/>
  <c r="T48" i="4"/>
  <c r="U48" i="4" s="1"/>
  <c r="X12" i="4"/>
  <c r="X15" i="4" s="1"/>
  <c r="X19" i="4"/>
  <c r="AA5" i="4"/>
  <c r="Z6" i="4"/>
  <c r="S46" i="3"/>
  <c r="S46" i="2"/>
  <c r="U29" i="3"/>
  <c r="U30" i="3" s="1"/>
  <c r="U24" i="3"/>
  <c r="U25" i="3"/>
  <c r="U26" i="3" s="1"/>
  <c r="T33" i="3"/>
  <c r="T32" i="3"/>
  <c r="U15" i="3"/>
  <c r="V10" i="3"/>
  <c r="T25" i="3"/>
  <c r="T26" i="3" s="1"/>
  <c r="T24" i="3"/>
  <c r="T29" i="3"/>
  <c r="T30" i="3" s="1"/>
  <c r="T32" i="2"/>
  <c r="T33" i="2"/>
  <c r="T25" i="2"/>
  <c r="T26" i="2" s="1"/>
  <c r="T24" i="2"/>
  <c r="T29" i="2"/>
  <c r="T30" i="2" s="1"/>
  <c r="V33" i="4"/>
  <c r="V32" i="4"/>
  <c r="V25" i="4"/>
  <c r="V26" i="4" s="1"/>
  <c r="V29" i="4"/>
  <c r="V30" i="4" s="1"/>
  <c r="V24" i="4"/>
  <c r="AD31" i="2"/>
  <c r="AD31" i="4"/>
  <c r="W29" i="4"/>
  <c r="W30" i="4" s="1"/>
  <c r="W24" i="4"/>
  <c r="W25" i="4"/>
  <c r="W26" i="4" s="1"/>
  <c r="U11" i="2"/>
  <c r="U12" i="2"/>
  <c r="AH14" i="3" l="1"/>
  <c r="AG20" i="3"/>
  <c r="AG31" i="3" s="1"/>
  <c r="AF31" i="3"/>
  <c r="AH13" i="3"/>
  <c r="AG22" i="3"/>
  <c r="AB5" i="3"/>
  <c r="AA6" i="3"/>
  <c r="AG14" i="2"/>
  <c r="AF20" i="2"/>
  <c r="AG13" i="2"/>
  <c r="AF22" i="2"/>
  <c r="AB5" i="2"/>
  <c r="AA6" i="2"/>
  <c r="AG14" i="4"/>
  <c r="AF20" i="4"/>
  <c r="AH13" i="4"/>
  <c r="AG22" i="4"/>
  <c r="X32" i="4"/>
  <c r="X33" i="4"/>
  <c r="Y12" i="4"/>
  <c r="Y19" i="4"/>
  <c r="AM19" i="4" s="1"/>
  <c r="AB5" i="4"/>
  <c r="AA6" i="4"/>
  <c r="S48" i="3"/>
  <c r="S48" i="2"/>
  <c r="U33" i="3"/>
  <c r="U32" i="3"/>
  <c r="U45" i="3" s="1"/>
  <c r="T45" i="3"/>
  <c r="T42" i="3"/>
  <c r="T46" i="3" s="1"/>
  <c r="T45" i="2"/>
  <c r="T42" i="2"/>
  <c r="T46" i="2" s="1"/>
  <c r="V42" i="4"/>
  <c r="V46" i="4"/>
  <c r="V45" i="4"/>
  <c r="W45" i="4"/>
  <c r="V10" i="2"/>
  <c r="V11" i="2"/>
  <c r="V18" i="2"/>
  <c r="U15" i="2"/>
  <c r="U18" i="2"/>
  <c r="V12" i="2"/>
  <c r="V19" i="2" s="1"/>
  <c r="U19" i="2"/>
  <c r="W42" i="4"/>
  <c r="W46" i="4" s="1"/>
  <c r="AE31" i="2"/>
  <c r="AE31" i="4"/>
  <c r="AM10" i="4"/>
  <c r="Y11" i="4"/>
  <c r="X29" i="4"/>
  <c r="X30" i="4" s="1"/>
  <c r="X24" i="4"/>
  <c r="X25" i="4"/>
  <c r="X26" i="4" s="1"/>
  <c r="V12" i="3"/>
  <c r="V11" i="3"/>
  <c r="AI14" i="3" l="1"/>
  <c r="AH20" i="3"/>
  <c r="AI13" i="3"/>
  <c r="AH22" i="3"/>
  <c r="AC5" i="3"/>
  <c r="AB6" i="3"/>
  <c r="AH14" i="2"/>
  <c r="AG20" i="2"/>
  <c r="AH13" i="2"/>
  <c r="AG22" i="2"/>
  <c r="AC5" i="2"/>
  <c r="AB6" i="2"/>
  <c r="AH14" i="4"/>
  <c r="AG20" i="4"/>
  <c r="AI13" i="4"/>
  <c r="AH22" i="4"/>
  <c r="Z12" i="4"/>
  <c r="AM12" i="4"/>
  <c r="Z19" i="4"/>
  <c r="AC5" i="4"/>
  <c r="AB6" i="4"/>
  <c r="U42" i="3"/>
  <c r="V48" i="4"/>
  <c r="W48" i="4" s="1"/>
  <c r="W10" i="2"/>
  <c r="W11" i="2"/>
  <c r="V15" i="2"/>
  <c r="W18" i="2"/>
  <c r="V29" i="2"/>
  <c r="V30" i="2" s="1"/>
  <c r="V24" i="2"/>
  <c r="V25" i="2"/>
  <c r="V26" i="2" s="1"/>
  <c r="U32" i="2"/>
  <c r="U33" i="2"/>
  <c r="U25" i="2"/>
  <c r="U26" i="2" s="1"/>
  <c r="U24" i="2"/>
  <c r="U29" i="2"/>
  <c r="U30" i="2" s="1"/>
  <c r="W12" i="2"/>
  <c r="W19" i="2" s="1"/>
  <c r="Z10" i="4"/>
  <c r="Y15" i="4"/>
  <c r="AM11" i="4"/>
  <c r="Z11" i="4"/>
  <c r="Z18" i="4" s="1"/>
  <c r="Y18" i="4"/>
  <c r="X45" i="4"/>
  <c r="V19" i="3"/>
  <c r="W10" i="3"/>
  <c r="W12" i="3" s="1"/>
  <c r="W19" i="3" s="1"/>
  <c r="V15" i="3"/>
  <c r="W11" i="3"/>
  <c r="W18" i="3" s="1"/>
  <c r="V18" i="3"/>
  <c r="X42" i="4"/>
  <c r="T48" i="3"/>
  <c r="AF31" i="2"/>
  <c r="AF31" i="4"/>
  <c r="T48" i="2"/>
  <c r="AJ14" i="3" l="1"/>
  <c r="AI20" i="3"/>
  <c r="AI31" i="3" s="1"/>
  <c r="AH31" i="3"/>
  <c r="AJ13" i="3"/>
  <c r="AI22" i="3"/>
  <c r="AD5" i="3"/>
  <c r="AC6" i="3"/>
  <c r="AI14" i="2"/>
  <c r="AH20" i="2"/>
  <c r="AI13" i="2"/>
  <c r="AH22" i="2"/>
  <c r="AD5" i="2"/>
  <c r="AC6" i="2"/>
  <c r="AI14" i="4"/>
  <c r="AH20" i="4"/>
  <c r="AJ13" i="4"/>
  <c r="AI22" i="4"/>
  <c r="AA12" i="4"/>
  <c r="AA19" i="4" s="1"/>
  <c r="AD5" i="4"/>
  <c r="AC6" i="4"/>
  <c r="U46" i="3"/>
  <c r="X11" i="2"/>
  <c r="X18" i="2" s="1"/>
  <c r="W15" i="2"/>
  <c r="X10" i="2"/>
  <c r="V32" i="2"/>
  <c r="V33" i="2"/>
  <c r="W29" i="2"/>
  <c r="W30" i="2" s="1"/>
  <c r="W24" i="2"/>
  <c r="W25" i="2"/>
  <c r="W26" i="2" s="1"/>
  <c r="V45" i="2"/>
  <c r="U45" i="2"/>
  <c r="U42" i="2"/>
  <c r="U46" i="2" s="1"/>
  <c r="X12" i="2"/>
  <c r="X19" i="2"/>
  <c r="Z29" i="4"/>
  <c r="Z30" i="4" s="1"/>
  <c r="Z24" i="4"/>
  <c r="Z25" i="4"/>
  <c r="Z26" i="4" s="1"/>
  <c r="AM15" i="4"/>
  <c r="D5" i="5" s="1"/>
  <c r="Y32" i="4"/>
  <c r="AM32" i="4" s="1"/>
  <c r="Y33" i="4"/>
  <c r="AM33" i="4" s="1"/>
  <c r="Z15" i="4"/>
  <c r="AA10" i="4"/>
  <c r="AA11" i="4" s="1"/>
  <c r="AA18" i="4" s="1"/>
  <c r="Y25" i="4"/>
  <c r="Y24" i="4"/>
  <c r="Y29" i="4"/>
  <c r="Y30" i="4" s="1"/>
  <c r="AM18" i="4"/>
  <c r="X12" i="3"/>
  <c r="X19" i="3" s="1"/>
  <c r="W29" i="3"/>
  <c r="W30" i="3" s="1"/>
  <c r="W25" i="3"/>
  <c r="W26" i="3" s="1"/>
  <c r="W24" i="3"/>
  <c r="V33" i="3"/>
  <c r="V32" i="3"/>
  <c r="W15" i="3"/>
  <c r="X10" i="3"/>
  <c r="X11" i="3" s="1"/>
  <c r="X18" i="3" s="1"/>
  <c r="V25" i="3"/>
  <c r="V26" i="3" s="1"/>
  <c r="V24" i="3"/>
  <c r="V29" i="3"/>
  <c r="V30" i="3" s="1"/>
  <c r="AG31" i="2"/>
  <c r="AG31" i="4"/>
  <c r="X46" i="4"/>
  <c r="AK14" i="3" l="1"/>
  <c r="AJ20" i="3"/>
  <c r="AK13" i="3"/>
  <c r="AJ22" i="3"/>
  <c r="AE5" i="3"/>
  <c r="AD6" i="3"/>
  <c r="AJ14" i="2"/>
  <c r="AI20" i="2"/>
  <c r="AJ13" i="2"/>
  <c r="AI22" i="2"/>
  <c r="AE5" i="2"/>
  <c r="AD6" i="2"/>
  <c r="AJ14" i="4"/>
  <c r="AI20" i="4"/>
  <c r="AK13" i="4"/>
  <c r="AJ22" i="4"/>
  <c r="AB12" i="4"/>
  <c r="AB19" i="4"/>
  <c r="AE5" i="4"/>
  <c r="AD6" i="4"/>
  <c r="U48" i="3"/>
  <c r="X15" i="2"/>
  <c r="Y10" i="2"/>
  <c r="W32" i="2"/>
  <c r="W33" i="2"/>
  <c r="X29" i="2"/>
  <c r="X30" i="2" s="1"/>
  <c r="X24" i="2"/>
  <c r="X25" i="2"/>
  <c r="X26" i="2" s="1"/>
  <c r="V42" i="2"/>
  <c r="U48" i="2"/>
  <c r="Z42" i="4"/>
  <c r="Z45" i="4"/>
  <c r="Z46" i="4"/>
  <c r="AA15" i="4"/>
  <c r="AB10" i="4"/>
  <c r="AB11" i="4" s="1"/>
  <c r="AB18" i="4" s="1"/>
  <c r="Z32" i="4"/>
  <c r="Z33" i="4"/>
  <c r="AA29" i="4"/>
  <c r="AA30" i="4" s="1"/>
  <c r="AA24" i="4"/>
  <c r="AA25" i="4"/>
  <c r="AA26" i="4" s="1"/>
  <c r="AM25" i="4"/>
  <c r="Y26" i="4"/>
  <c r="AM26" i="4" s="1"/>
  <c r="D13" i="5" s="1"/>
  <c r="AM24" i="4"/>
  <c r="AM45" i="4"/>
  <c r="D18" i="5" s="1"/>
  <c r="D10" i="5"/>
  <c r="Y45" i="4"/>
  <c r="AM30" i="4"/>
  <c r="Y42" i="4"/>
  <c r="X15" i="3"/>
  <c r="Y10" i="3"/>
  <c r="W32" i="3"/>
  <c r="W45" i="3" s="1"/>
  <c r="W33" i="3"/>
  <c r="X29" i="3"/>
  <c r="X30" i="3" s="1"/>
  <c r="X24" i="3"/>
  <c r="X25" i="3"/>
  <c r="X26" i="3" s="1"/>
  <c r="V45" i="3"/>
  <c r="V42" i="3"/>
  <c r="V46" i="3" s="1"/>
  <c r="X48" i="4"/>
  <c r="AH31" i="2"/>
  <c r="AH31" i="4"/>
  <c r="AN14" i="3" l="1"/>
  <c r="AK20" i="3"/>
  <c r="AK31" i="3" s="1"/>
  <c r="AN20" i="3"/>
  <c r="AJ31" i="3"/>
  <c r="AN31" i="3" s="1"/>
  <c r="AN13" i="3"/>
  <c r="AK22" i="3"/>
  <c r="AN22" i="3" s="1"/>
  <c r="AF5" i="3"/>
  <c r="AE6" i="3"/>
  <c r="AK14" i="2"/>
  <c r="AJ20" i="2"/>
  <c r="AJ31" i="2" s="1"/>
  <c r="AK13" i="2"/>
  <c r="AJ22" i="2"/>
  <c r="AF5" i="2"/>
  <c r="AE6" i="2"/>
  <c r="AK14" i="4"/>
  <c r="AJ20" i="4"/>
  <c r="AJ31" i="4" s="1"/>
  <c r="AN13" i="4"/>
  <c r="AK22" i="4"/>
  <c r="AN22" i="4" s="1"/>
  <c r="AC12" i="4"/>
  <c r="AC19" i="4"/>
  <c r="AF5" i="4"/>
  <c r="AE6" i="4"/>
  <c r="X32" i="2"/>
  <c r="X33" i="2"/>
  <c r="X42" i="2"/>
  <c r="X45" i="2"/>
  <c r="X46" i="2"/>
  <c r="V46" i="2"/>
  <c r="AC11" i="4"/>
  <c r="AC18" i="4" s="1"/>
  <c r="AB15" i="4"/>
  <c r="AC10" i="4"/>
  <c r="AA32" i="4"/>
  <c r="AA33" i="4"/>
  <c r="AB29" i="4"/>
  <c r="AB30" i="4" s="1"/>
  <c r="AB24" i="4"/>
  <c r="AB25" i="4"/>
  <c r="AB26" i="4" s="1"/>
  <c r="AA45" i="4"/>
  <c r="X33" i="3"/>
  <c r="X32" i="3"/>
  <c r="X42" i="3" s="1"/>
  <c r="W42" i="3"/>
  <c r="X45" i="3"/>
  <c r="X46" i="3"/>
  <c r="V48" i="3"/>
  <c r="W42" i="2"/>
  <c r="AI31" i="2"/>
  <c r="AI31" i="4"/>
  <c r="AM10" i="2"/>
  <c r="Y11" i="2"/>
  <c r="Y12" i="2"/>
  <c r="W45" i="2"/>
  <c r="AM42" i="4"/>
  <c r="Y46" i="4"/>
  <c r="AM10" i="3"/>
  <c r="Y12" i="3"/>
  <c r="Y11" i="3"/>
  <c r="AG5" i="3" l="1"/>
  <c r="AF6" i="3"/>
  <c r="AN14" i="2"/>
  <c r="AK20" i="2"/>
  <c r="AN13" i="2"/>
  <c r="AK22" i="2"/>
  <c r="AN22" i="2" s="1"/>
  <c r="AG5" i="2"/>
  <c r="AF6" i="2"/>
  <c r="AN14" i="4"/>
  <c r="AK20" i="4"/>
  <c r="AG5" i="4"/>
  <c r="AF6" i="4"/>
  <c r="V48" i="2"/>
  <c r="W48" i="2" s="1"/>
  <c r="X48" i="2" s="1"/>
  <c r="AC15" i="4"/>
  <c r="AD10" i="4"/>
  <c r="AB32" i="4"/>
  <c r="AB45" i="4" s="1"/>
  <c r="AB33" i="4"/>
  <c r="AC29" i="4"/>
  <c r="AC30" i="4" s="1"/>
  <c r="AC24" i="4"/>
  <c r="AC25" i="4"/>
  <c r="AC26" i="4" s="1"/>
  <c r="AA42" i="4"/>
  <c r="AB42" i="4"/>
  <c r="AB46" i="4" s="1"/>
  <c r="W46" i="3"/>
  <c r="Y15" i="2"/>
  <c r="Z10" i="2"/>
  <c r="Z11" i="2" s="1"/>
  <c r="Z18" i="2" s="1"/>
  <c r="AM11" i="2"/>
  <c r="Y18" i="2"/>
  <c r="AM12" i="2"/>
  <c r="Z12" i="2"/>
  <c r="Z19" i="2" s="1"/>
  <c r="Y19" i="2"/>
  <c r="AM19" i="2" s="1"/>
  <c r="AM46" i="4"/>
  <c r="Y48" i="4"/>
  <c r="D21" i="5"/>
  <c r="AM12" i="3"/>
  <c r="Y19" i="3"/>
  <c r="AM19" i="3" s="1"/>
  <c r="Z10" i="3"/>
  <c r="Z12" i="3" s="1"/>
  <c r="Z19" i="3" s="1"/>
  <c r="Y15" i="3"/>
  <c r="AM11" i="3"/>
  <c r="Z11" i="3"/>
  <c r="Z18" i="3" s="1"/>
  <c r="Y18" i="3"/>
  <c r="W46" i="2"/>
  <c r="AH5" i="3" l="1"/>
  <c r="AG6" i="3"/>
  <c r="AN20" i="2"/>
  <c r="AK31" i="2"/>
  <c r="AN31" i="2" s="1"/>
  <c r="AH5" i="2"/>
  <c r="AG6" i="2"/>
  <c r="AN20" i="4"/>
  <c r="AK31" i="4"/>
  <c r="AN31" i="4" s="1"/>
  <c r="AH5" i="4"/>
  <c r="AG6" i="4"/>
  <c r="AC32" i="4"/>
  <c r="AC45" i="4" s="1"/>
  <c r="AC33" i="4"/>
  <c r="AA46" i="4"/>
  <c r="W48" i="3"/>
  <c r="X48" i="3" s="1"/>
  <c r="Z29" i="2"/>
  <c r="Z30" i="2" s="1"/>
  <c r="Z24" i="2"/>
  <c r="Z25" i="2"/>
  <c r="Z26" i="2" s="1"/>
  <c r="AM15" i="2"/>
  <c r="B5" i="5" s="1"/>
  <c r="Y32" i="2"/>
  <c r="AM32" i="2" s="1"/>
  <c r="Y33" i="2"/>
  <c r="AM33" i="2" s="1"/>
  <c r="Z15" i="2"/>
  <c r="AA10" i="2"/>
  <c r="AA11" i="2" s="1"/>
  <c r="AA18" i="2" s="1"/>
  <c r="Y25" i="2"/>
  <c r="Y24" i="2"/>
  <c r="Y29" i="2"/>
  <c r="Y30" i="2" s="1"/>
  <c r="AM18" i="2"/>
  <c r="AA12" i="2"/>
  <c r="AA19" i="2" s="1"/>
  <c r="Z48" i="4"/>
  <c r="AA48" i="4" s="1"/>
  <c r="AB48" i="4" s="1"/>
  <c r="AM48" i="4"/>
  <c r="D26" i="5" s="1"/>
  <c r="AA12" i="3"/>
  <c r="AA19" i="3" s="1"/>
  <c r="AM15" i="3"/>
  <c r="C5" i="5" s="1"/>
  <c r="Y32" i="3"/>
  <c r="AM32" i="3" s="1"/>
  <c r="Y33" i="3"/>
  <c r="AM33" i="3" s="1"/>
  <c r="Z29" i="3"/>
  <c r="Z30" i="3" s="1"/>
  <c r="Z24" i="3"/>
  <c r="Z25" i="3"/>
  <c r="Z26" i="3" s="1"/>
  <c r="Z15" i="3"/>
  <c r="AA10" i="3"/>
  <c r="AA11" i="3" s="1"/>
  <c r="AA18" i="3" s="1"/>
  <c r="Y24" i="3"/>
  <c r="Y25" i="3"/>
  <c r="Y29" i="3"/>
  <c r="Y30" i="3" s="1"/>
  <c r="AM18" i="3"/>
  <c r="AD12" i="4"/>
  <c r="AD11" i="4"/>
  <c r="AI5" i="3" l="1"/>
  <c r="AH6" i="3"/>
  <c r="AI5" i="2"/>
  <c r="AH6" i="2"/>
  <c r="AI5" i="4"/>
  <c r="AH6" i="4"/>
  <c r="AC42" i="4"/>
  <c r="Z32" i="2"/>
  <c r="Z33" i="2"/>
  <c r="AA29" i="2"/>
  <c r="AA30" i="2" s="1"/>
  <c r="AA24" i="2"/>
  <c r="AA25" i="2"/>
  <c r="AA26" i="2" s="1"/>
  <c r="AB10" i="2"/>
  <c r="AB11" i="2"/>
  <c r="AA15" i="2"/>
  <c r="AB18" i="2"/>
  <c r="AM25" i="2"/>
  <c r="Y26" i="2"/>
  <c r="AM26" i="2" s="1"/>
  <c r="B13" i="5" s="1"/>
  <c r="AM24" i="2"/>
  <c r="B10" i="5"/>
  <c r="AM45" i="2"/>
  <c r="B18" i="5" s="1"/>
  <c r="Y45" i="2"/>
  <c r="AM30" i="2"/>
  <c r="Y42" i="2"/>
  <c r="AB12" i="2"/>
  <c r="AB19" i="2" s="1"/>
  <c r="AA15" i="3"/>
  <c r="AB10" i="3"/>
  <c r="Z32" i="3"/>
  <c r="Z33" i="3"/>
  <c r="AA29" i="3"/>
  <c r="AA30" i="3" s="1"/>
  <c r="AA24" i="3"/>
  <c r="AA25" i="3"/>
  <c r="AA26" i="3" s="1"/>
  <c r="AM24" i="3"/>
  <c r="C10" i="5"/>
  <c r="AM45" i="3"/>
  <c r="C18" i="5" s="1"/>
  <c r="Y45" i="3"/>
  <c r="AM25" i="3"/>
  <c r="Y26" i="3"/>
  <c r="AM26" i="3" s="1"/>
  <c r="C13" i="5" s="1"/>
  <c r="AM30" i="3"/>
  <c r="Y42" i="3"/>
  <c r="AD19" i="4"/>
  <c r="AE10" i="4"/>
  <c r="AE12" i="4" s="1"/>
  <c r="AE19" i="4" s="1"/>
  <c r="AD15" i="4"/>
  <c r="AE11" i="4"/>
  <c r="AE18" i="4" s="1"/>
  <c r="AD18" i="4"/>
  <c r="AJ5" i="3" l="1"/>
  <c r="AI6" i="3"/>
  <c r="AJ5" i="2"/>
  <c r="AI6" i="2"/>
  <c r="AJ5" i="4"/>
  <c r="AI6" i="4"/>
  <c r="AC46" i="4"/>
  <c r="AB15" i="2"/>
  <c r="AC10" i="2"/>
  <c r="AC12" i="2" s="1"/>
  <c r="AC19" i="2" s="1"/>
  <c r="AC11" i="2"/>
  <c r="AC18" i="2" s="1"/>
  <c r="AA32" i="2"/>
  <c r="AA45" i="2" s="1"/>
  <c r="AA33" i="2"/>
  <c r="AB29" i="2"/>
  <c r="AB30" i="2" s="1"/>
  <c r="AB24" i="2"/>
  <c r="AB25" i="2"/>
  <c r="AB26" i="2" s="1"/>
  <c r="AA32" i="3"/>
  <c r="AA33" i="3"/>
  <c r="AA45" i="3"/>
  <c r="AF12" i="4"/>
  <c r="AF19" i="4"/>
  <c r="AE29" i="4"/>
  <c r="AE30" i="4" s="1"/>
  <c r="AE24" i="4"/>
  <c r="AE25" i="4"/>
  <c r="AE26" i="4" s="1"/>
  <c r="AD32" i="4"/>
  <c r="AD33" i="4"/>
  <c r="AE15" i="4"/>
  <c r="AF10" i="4"/>
  <c r="AF11" i="4" s="1"/>
  <c r="AF18" i="4" s="1"/>
  <c r="AD25" i="4"/>
  <c r="AD26" i="4" s="1"/>
  <c r="AD24" i="4"/>
  <c r="AD29" i="4"/>
  <c r="AD30" i="4" s="1"/>
  <c r="Z42" i="2"/>
  <c r="Z45" i="2"/>
  <c r="AM42" i="2"/>
  <c r="Y46" i="2"/>
  <c r="AB12" i="3"/>
  <c r="AB11" i="3"/>
  <c r="Z45" i="3"/>
  <c r="Z42" i="3"/>
  <c r="AM42" i="3"/>
  <c r="Y46" i="3"/>
  <c r="AK5" i="3" l="1"/>
  <c r="AJ6" i="3"/>
  <c r="AN6" i="3" s="1"/>
  <c r="AK5" i="2"/>
  <c r="AJ6" i="2"/>
  <c r="AN6" i="2" s="1"/>
  <c r="AK5" i="4"/>
  <c r="AJ6" i="4"/>
  <c r="AN6" i="4" s="1"/>
  <c r="AC48" i="4"/>
  <c r="AB32" i="2"/>
  <c r="AB33" i="2"/>
  <c r="AC29" i="2"/>
  <c r="AC30" i="2" s="1"/>
  <c r="AC24" i="2"/>
  <c r="AC25" i="2"/>
  <c r="AC26" i="2" s="1"/>
  <c r="AD10" i="2"/>
  <c r="AD12" i="2" s="1"/>
  <c r="AD19" i="2" s="1"/>
  <c r="AD11" i="2"/>
  <c r="AD18" i="2" s="1"/>
  <c r="AC15" i="2"/>
  <c r="AA42" i="2"/>
  <c r="AA46" i="2" s="1"/>
  <c r="AA42" i="3"/>
  <c r="AA46" i="3" s="1"/>
  <c r="AF15" i="4"/>
  <c r="AG10" i="4"/>
  <c r="AE32" i="4"/>
  <c r="AE45" i="4" s="1"/>
  <c r="AE33" i="4"/>
  <c r="AF29" i="4"/>
  <c r="AF30" i="4" s="1"/>
  <c r="AF24" i="4"/>
  <c r="AF25" i="4"/>
  <c r="AF26" i="4" s="1"/>
  <c r="AD45" i="4"/>
  <c r="AD42" i="4"/>
  <c r="AD46" i="4" s="1"/>
  <c r="Z46" i="2"/>
  <c r="B21" i="5"/>
  <c r="Y48" i="2"/>
  <c r="AM46" i="2"/>
  <c r="AB19" i="3"/>
  <c r="AC10" i="3"/>
  <c r="AB15" i="3"/>
  <c r="AB18" i="3"/>
  <c r="Z46" i="3"/>
  <c r="C21" i="5"/>
  <c r="Y48" i="3"/>
  <c r="AM46" i="3"/>
  <c r="AD15" i="2" l="1"/>
  <c r="AE10" i="2"/>
  <c r="AE11" i="2"/>
  <c r="AE18" i="2" s="1"/>
  <c r="AC32" i="2"/>
  <c r="AC45" i="2" s="1"/>
  <c r="AC33" i="2"/>
  <c r="AD29" i="2"/>
  <c r="AD30" i="2" s="1"/>
  <c r="AD24" i="2"/>
  <c r="AD25" i="2"/>
  <c r="AD26" i="2" s="1"/>
  <c r="AE12" i="2"/>
  <c r="AE19" i="2" s="1"/>
  <c r="AF32" i="4"/>
  <c r="AF33" i="4"/>
  <c r="AE42" i="4"/>
  <c r="AF45" i="4"/>
  <c r="AM48" i="2"/>
  <c r="B26" i="5" s="1"/>
  <c r="Z48" i="2"/>
  <c r="AA48" i="2" s="1"/>
  <c r="AB32" i="3"/>
  <c r="AB33" i="3"/>
  <c r="AB25" i="3"/>
  <c r="AB26" i="3" s="1"/>
  <c r="AB24" i="3"/>
  <c r="AB29" i="3"/>
  <c r="AB30" i="3" s="1"/>
  <c r="Z48" i="3"/>
  <c r="AA48" i="3" s="1"/>
  <c r="AM48" i="3"/>
  <c r="C26" i="5" s="1"/>
  <c r="AK6" i="3"/>
  <c r="AN5" i="3"/>
  <c r="AK6" i="2"/>
  <c r="AN5" i="2"/>
  <c r="AK6" i="4"/>
  <c r="AN5" i="4"/>
  <c r="AB42" i="2"/>
  <c r="AB45" i="2"/>
  <c r="AG11" i="4"/>
  <c r="AG12" i="4"/>
  <c r="AD48" i="4"/>
  <c r="AC12" i="3"/>
  <c r="AC11" i="3"/>
  <c r="AD32" i="2" l="1"/>
  <c r="AD33" i="2"/>
  <c r="AE29" i="2"/>
  <c r="AE30" i="2" s="1"/>
  <c r="AE24" i="2"/>
  <c r="AE25" i="2"/>
  <c r="AE26" i="2" s="1"/>
  <c r="AE15" i="2"/>
  <c r="AF10" i="2"/>
  <c r="AF11" i="2" s="1"/>
  <c r="AF18" i="2" s="1"/>
  <c r="AD42" i="2"/>
  <c r="AD45" i="2"/>
  <c r="AD46" i="2"/>
  <c r="AF12" i="2"/>
  <c r="AF19" i="2" s="1"/>
  <c r="AE46" i="4"/>
  <c r="AB45" i="3"/>
  <c r="AB42" i="3"/>
  <c r="AB46" i="3" s="1"/>
  <c r="AB46" i="2"/>
  <c r="AH10" i="4"/>
  <c r="AG15" i="4"/>
  <c r="AH11" i="4"/>
  <c r="AH18" i="4" s="1"/>
  <c r="AG18" i="4"/>
  <c r="AH12" i="4"/>
  <c r="AH19" i="4" s="1"/>
  <c r="AG19" i="4"/>
  <c r="AD12" i="3"/>
  <c r="AD19" i="3" s="1"/>
  <c r="AC19" i="3"/>
  <c r="AD10" i="3"/>
  <c r="AC15" i="3"/>
  <c r="AD11" i="3"/>
  <c r="AD18" i="3" s="1"/>
  <c r="AC18" i="3"/>
  <c r="AC42" i="2"/>
  <c r="AC46" i="2" s="1"/>
  <c r="AF42" i="4"/>
  <c r="AF46" i="4" s="1"/>
  <c r="AF15" i="2" l="1"/>
  <c r="AG10" i="2"/>
  <c r="AG11" i="2" s="1"/>
  <c r="AG18" i="2" s="1"/>
  <c r="AE32" i="2"/>
  <c r="AE45" i="2" s="1"/>
  <c r="AE33" i="2"/>
  <c r="AF29" i="2"/>
  <c r="AF30" i="2" s="1"/>
  <c r="AF24" i="2"/>
  <c r="AF25" i="2"/>
  <c r="AF26" i="2" s="1"/>
  <c r="AG12" i="2"/>
  <c r="AG19" i="2"/>
  <c r="AE48" i="4"/>
  <c r="AF48" i="4" s="1"/>
  <c r="AB48" i="3"/>
  <c r="AB48" i="2"/>
  <c r="AC48" i="2" s="1"/>
  <c r="AD48" i="2" s="1"/>
  <c r="AH29" i="4"/>
  <c r="AH30" i="4" s="1"/>
  <c r="AH24" i="4"/>
  <c r="AH25" i="4"/>
  <c r="AH26" i="4" s="1"/>
  <c r="AG32" i="4"/>
  <c r="AG33" i="4"/>
  <c r="AH15" i="4"/>
  <c r="AI10" i="4"/>
  <c r="AI11" i="4" s="1"/>
  <c r="AI18" i="4" s="1"/>
  <c r="AG25" i="4"/>
  <c r="AG26" i="4" s="1"/>
  <c r="AG24" i="4"/>
  <c r="AG29" i="4"/>
  <c r="AG30" i="4" s="1"/>
  <c r="AI12" i="4"/>
  <c r="AI19" i="4"/>
  <c r="AE12" i="3"/>
  <c r="AE19" i="3"/>
  <c r="AD29" i="3"/>
  <c r="AD30" i="3" s="1"/>
  <c r="AD24" i="3"/>
  <c r="AD25" i="3"/>
  <c r="AD26" i="3" s="1"/>
  <c r="AC32" i="3"/>
  <c r="AC33" i="3"/>
  <c r="AD15" i="3"/>
  <c r="AE10" i="3"/>
  <c r="AE11" i="3" s="1"/>
  <c r="AE18" i="3" s="1"/>
  <c r="AC25" i="3"/>
  <c r="AC26" i="3" s="1"/>
  <c r="AC24" i="3"/>
  <c r="AC29" i="3"/>
  <c r="AC30" i="3" s="1"/>
  <c r="AF32" i="2" l="1"/>
  <c r="AF33" i="2"/>
  <c r="AG29" i="2"/>
  <c r="AG30" i="2" s="1"/>
  <c r="AG24" i="2"/>
  <c r="AG25" i="2"/>
  <c r="AG26" i="2" s="1"/>
  <c r="AH10" i="2"/>
  <c r="AH11" i="2"/>
  <c r="AG15" i="2"/>
  <c r="AH18" i="2"/>
  <c r="AE42" i="2"/>
  <c r="AF42" i="2"/>
  <c r="AF45" i="2"/>
  <c r="AF46" i="2"/>
  <c r="AH12" i="2"/>
  <c r="AH19" i="2" s="1"/>
  <c r="AI15" i="4"/>
  <c r="AJ10" i="4"/>
  <c r="AJ11" i="4" s="1"/>
  <c r="AJ18" i="4" s="1"/>
  <c r="AH32" i="4"/>
  <c r="AH45" i="4" s="1"/>
  <c r="AH33" i="4"/>
  <c r="AI29" i="4"/>
  <c r="AI30" i="4" s="1"/>
  <c r="AI24" i="4"/>
  <c r="AI25" i="4"/>
  <c r="AI26" i="4" s="1"/>
  <c r="AG45" i="4"/>
  <c r="AG42" i="4"/>
  <c r="AG46" i="4" s="1"/>
  <c r="AJ12" i="4"/>
  <c r="AJ19" i="4" s="1"/>
  <c r="AF12" i="3"/>
  <c r="AF19" i="3" s="1"/>
  <c r="AD45" i="3"/>
  <c r="AF11" i="3"/>
  <c r="AE15" i="3"/>
  <c r="AF18" i="3"/>
  <c r="AF10" i="3"/>
  <c r="AD33" i="3"/>
  <c r="AD32" i="3"/>
  <c r="AE29" i="3"/>
  <c r="AE30" i="3" s="1"/>
  <c r="AE25" i="3"/>
  <c r="AE26" i="3" s="1"/>
  <c r="AE24" i="3"/>
  <c r="AC45" i="3"/>
  <c r="AC42" i="3"/>
  <c r="AC46" i="3" s="1"/>
  <c r="AH15" i="2" l="1"/>
  <c r="AI10" i="2"/>
  <c r="AI11" i="2" s="1"/>
  <c r="AI18" i="2" s="1"/>
  <c r="AG32" i="2"/>
  <c r="AG45" i="2" s="1"/>
  <c r="AG33" i="2"/>
  <c r="AH29" i="2"/>
  <c r="AH30" i="2" s="1"/>
  <c r="AH24" i="2"/>
  <c r="AH25" i="2"/>
  <c r="AH26" i="2" s="1"/>
  <c r="AE46" i="2"/>
  <c r="AI12" i="2"/>
  <c r="AI19" i="2" s="1"/>
  <c r="AK11" i="4"/>
  <c r="AK18" i="4" s="1"/>
  <c r="AN18" i="4" s="1"/>
  <c r="AJ15" i="4"/>
  <c r="AK10" i="4"/>
  <c r="AN10" i="4" s="1"/>
  <c r="AI32" i="4"/>
  <c r="AI33" i="4"/>
  <c r="AJ29" i="4"/>
  <c r="AJ30" i="4" s="1"/>
  <c r="AJ24" i="4"/>
  <c r="AJ25" i="4"/>
  <c r="AJ26" i="4" s="1"/>
  <c r="AH42" i="4"/>
  <c r="AI45" i="4"/>
  <c r="AG48" i="4"/>
  <c r="AK12" i="4"/>
  <c r="AN12" i="4" s="1"/>
  <c r="AK19" i="4"/>
  <c r="AN19" i="4" s="1"/>
  <c r="AF15" i="3"/>
  <c r="AG10" i="3"/>
  <c r="AE33" i="3"/>
  <c r="AE32" i="3"/>
  <c r="AF29" i="3"/>
  <c r="AF30" i="3" s="1"/>
  <c r="AF24" i="3"/>
  <c r="AF25" i="3"/>
  <c r="AF26" i="3" s="1"/>
  <c r="AD42" i="3"/>
  <c r="AC48" i="3"/>
  <c r="AI15" i="2" l="1"/>
  <c r="AJ10" i="2"/>
  <c r="AJ11" i="2" s="1"/>
  <c r="AJ18" i="2" s="1"/>
  <c r="AH32" i="2"/>
  <c r="AH33" i="2"/>
  <c r="AI29" i="2"/>
  <c r="AI30" i="2" s="1"/>
  <c r="AI24" i="2"/>
  <c r="AI25" i="2"/>
  <c r="AI26" i="2" s="1"/>
  <c r="AG42" i="2"/>
  <c r="AH42" i="2"/>
  <c r="AH45" i="2"/>
  <c r="AH46" i="2"/>
  <c r="AE48" i="2"/>
  <c r="AF48" i="2" s="1"/>
  <c r="AJ12" i="2"/>
  <c r="AJ19" i="2" s="1"/>
  <c r="AN11" i="4"/>
  <c r="AK15" i="4"/>
  <c r="AJ32" i="4"/>
  <c r="AJ42" i="4" s="1"/>
  <c r="AJ33" i="4"/>
  <c r="AK29" i="4"/>
  <c r="AK30" i="4" s="1"/>
  <c r="AN30" i="4" s="1"/>
  <c r="AK24" i="4"/>
  <c r="AK25" i="4"/>
  <c r="AN24" i="4"/>
  <c r="AJ45" i="4"/>
  <c r="AH46" i="4"/>
  <c r="AF33" i="3"/>
  <c r="AF32" i="3"/>
  <c r="AF42" i="3"/>
  <c r="AF45" i="3"/>
  <c r="AF46" i="3"/>
  <c r="AD46" i="3"/>
  <c r="AI42" i="4"/>
  <c r="AI46" i="4" s="1"/>
  <c r="AG12" i="3"/>
  <c r="AG11" i="3"/>
  <c r="AE42" i="3"/>
  <c r="AE46" i="3" s="1"/>
  <c r="AE45" i="3"/>
  <c r="AI32" i="2" l="1"/>
  <c r="AI45" i="2" s="1"/>
  <c r="AI33" i="2"/>
  <c r="AJ29" i="2"/>
  <c r="AJ30" i="2" s="1"/>
  <c r="AJ24" i="2"/>
  <c r="AJ25" i="2"/>
  <c r="AJ26" i="2" s="1"/>
  <c r="AK10" i="2"/>
  <c r="AN10" i="2" s="1"/>
  <c r="AK11" i="2"/>
  <c r="AJ15" i="2"/>
  <c r="AK18" i="2"/>
  <c r="AG46" i="2"/>
  <c r="AK12" i="2"/>
  <c r="AN15" i="4"/>
  <c r="D6" i="5" s="1"/>
  <c r="AK32" i="4"/>
  <c r="AK33" i="4"/>
  <c r="AN33" i="4" s="1"/>
  <c r="D11" i="5"/>
  <c r="AN45" i="4"/>
  <c r="D19" i="5" s="1"/>
  <c r="AK45" i="4"/>
  <c r="AN25" i="4"/>
  <c r="AK26" i="4"/>
  <c r="AN26" i="4" s="1"/>
  <c r="D14" i="5" s="1"/>
  <c r="AH48" i="4"/>
  <c r="AI48" i="4" s="1"/>
  <c r="AD48" i="3"/>
  <c r="AE48" i="3" s="1"/>
  <c r="AF48" i="3" s="1"/>
  <c r="AG19" i="3"/>
  <c r="AH10" i="3"/>
  <c r="AH12" i="3" s="1"/>
  <c r="AH19" i="3" s="1"/>
  <c r="AG15" i="3"/>
  <c r="AH11" i="3"/>
  <c r="AH18" i="3" s="1"/>
  <c r="AG18" i="3"/>
  <c r="AJ46" i="4"/>
  <c r="AI42" i="2" l="1"/>
  <c r="AK15" i="2"/>
  <c r="AN11" i="2"/>
  <c r="AJ32" i="2"/>
  <c r="AJ33" i="2"/>
  <c r="AN18" i="2"/>
  <c r="AK29" i="2"/>
  <c r="AK30" i="2" s="1"/>
  <c r="AN30" i="2" s="1"/>
  <c r="AK24" i="2"/>
  <c r="AN24" i="2" s="1"/>
  <c r="AK25" i="2"/>
  <c r="AG48" i="2"/>
  <c r="AH48" i="2" s="1"/>
  <c r="AK42" i="4"/>
  <c r="AN32" i="4"/>
  <c r="AI12" i="3"/>
  <c r="AI19" i="3" s="1"/>
  <c r="AH29" i="3"/>
  <c r="AH30" i="3" s="1"/>
  <c r="AH25" i="3"/>
  <c r="AH26" i="3" s="1"/>
  <c r="AH24" i="3"/>
  <c r="AG32" i="3"/>
  <c r="AG33" i="3"/>
  <c r="AH15" i="3"/>
  <c r="AI10" i="3"/>
  <c r="AI11" i="3" s="1"/>
  <c r="AI18" i="3" s="1"/>
  <c r="AG24" i="3"/>
  <c r="AG25" i="3"/>
  <c r="AG26" i="3" s="1"/>
  <c r="AG29" i="3"/>
  <c r="AG30" i="3" s="1"/>
  <c r="AJ48" i="4"/>
  <c r="AN12" i="2"/>
  <c r="AK19" i="2"/>
  <c r="AN19" i="2" s="1"/>
  <c r="AI46" i="2" l="1"/>
  <c r="AN15" i="2"/>
  <c r="B6" i="5" s="1"/>
  <c r="AK32" i="2"/>
  <c r="AN32" i="2" s="1"/>
  <c r="AK33" i="2"/>
  <c r="AN33" i="2" s="1"/>
  <c r="AN45" i="2"/>
  <c r="B19" i="5" s="1"/>
  <c r="B11" i="5"/>
  <c r="AK45" i="2"/>
  <c r="AN25" i="2"/>
  <c r="AK26" i="2"/>
  <c r="AN26" i="2" s="1"/>
  <c r="B14" i="5" s="1"/>
  <c r="AN42" i="4"/>
  <c r="AK46" i="4"/>
  <c r="AI15" i="3"/>
  <c r="AJ10" i="3"/>
  <c r="AI29" i="3"/>
  <c r="AI30" i="3" s="1"/>
  <c r="AI24" i="3"/>
  <c r="AI25" i="3"/>
  <c r="AI26" i="3" s="1"/>
  <c r="AH32" i="3"/>
  <c r="AH45" i="3" s="1"/>
  <c r="AH33" i="3"/>
  <c r="AG45" i="3"/>
  <c r="AG46" i="3"/>
  <c r="AG42" i="3"/>
  <c r="AJ42" i="2"/>
  <c r="AJ46" i="2" s="1"/>
  <c r="AJ45" i="2"/>
  <c r="AI48" i="2" l="1"/>
  <c r="AJ48" i="2" s="1"/>
  <c r="AK48" i="4"/>
  <c r="AN48" i="4" s="1"/>
  <c r="D27" i="5" s="1"/>
  <c r="AN46" i="4"/>
  <c r="D22" i="5"/>
  <c r="AI32" i="3"/>
  <c r="AI33" i="3"/>
  <c r="AI45" i="3"/>
  <c r="AH42" i="3"/>
  <c r="AG48" i="3"/>
  <c r="AK42" i="2"/>
  <c r="AJ12" i="3"/>
  <c r="AJ11" i="3"/>
  <c r="AH46" i="3" l="1"/>
  <c r="AN42" i="2"/>
  <c r="AK46" i="2"/>
  <c r="AK12" i="3"/>
  <c r="AJ19" i="3"/>
  <c r="AK10" i="3"/>
  <c r="AN10" i="3" s="1"/>
  <c r="AJ15" i="3"/>
  <c r="AK11" i="3"/>
  <c r="AK18" i="3" s="1"/>
  <c r="AJ18" i="3"/>
  <c r="AI42" i="3"/>
  <c r="AI46" i="3" s="1"/>
  <c r="AH48" i="3" l="1"/>
  <c r="AI48" i="3" s="1"/>
  <c r="AK48" i="2"/>
  <c r="AN48" i="2" s="1"/>
  <c r="B27" i="5" s="1"/>
  <c r="AN46" i="2"/>
  <c r="B22" i="5"/>
  <c r="AK29" i="3"/>
  <c r="AK30" i="3" s="1"/>
  <c r="AK25" i="3"/>
  <c r="AK24" i="3"/>
  <c r="AJ33" i="3"/>
  <c r="AJ32" i="3"/>
  <c r="AN11" i="3"/>
  <c r="AK15" i="3"/>
  <c r="AJ25" i="3"/>
  <c r="AJ26" i="3" s="1"/>
  <c r="AJ24" i="3"/>
  <c r="AJ29" i="3"/>
  <c r="AJ30" i="3" s="1"/>
  <c r="AN18" i="3"/>
  <c r="AN12" i="3"/>
  <c r="AK19" i="3"/>
  <c r="AN19" i="3" s="1"/>
  <c r="AN25" i="3" l="1"/>
  <c r="AK26" i="3"/>
  <c r="AN26" i="3" s="1"/>
  <c r="C14" i="5" s="1"/>
  <c r="C11" i="5"/>
  <c r="AN15" i="3"/>
  <c r="C6" i="5" s="1"/>
  <c r="AK32" i="3"/>
  <c r="AK33" i="3"/>
  <c r="AN33" i="3" s="1"/>
  <c r="AN24" i="3"/>
  <c r="AJ45" i="3"/>
  <c r="AN30" i="3"/>
  <c r="AJ42" i="3"/>
  <c r="AJ46" i="3" s="1"/>
  <c r="AN32" i="3" l="1"/>
  <c r="AK42" i="3"/>
  <c r="AJ48" i="3"/>
  <c r="AN45" i="3"/>
  <c r="C19" i="5" s="1"/>
  <c r="AK45" i="3"/>
  <c r="AK46" i="3" l="1"/>
  <c r="AN42" i="3"/>
  <c r="AN46" i="3" l="1"/>
  <c r="AK48" i="3"/>
  <c r="AN48" i="3" s="1"/>
  <c r="C27" i="5" s="1"/>
  <c r="C22" i="5"/>
</calcChain>
</file>

<file path=xl/sharedStrings.xml><?xml version="1.0" encoding="utf-8"?>
<sst xmlns="http://schemas.openxmlformats.org/spreadsheetml/2006/main" count="608" uniqueCount="303">
  <si>
    <t>NutriSync — Ambitious Scenario  |  All inputs from Assumptions sheet  |  Blue = inputs, Black = formulas</t>
  </si>
  <si>
    <t>METRIC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</si>
  <si>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</si>
  <si>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</si>
  <si>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</si>
  <si>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</si>
  <si>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</si>
  <si>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</si>
  <si>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</si>
  <si>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</si>
  <si>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</si>
  <si>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</si>
  <si>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</si>
  <si>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</si>
  <si>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</si>
  <si>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</si>
  <si>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</si>
  <si>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</si>
  <si>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</si>
  <si>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</si>
  <si>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</si>
  <si>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</si>
  <si>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</si>
  <si>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</si>
  <si>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</si>
  <si>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</si>
  <si>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</si>
  <si>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</si>
  <si>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</si>
  <si>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</si>
  <si>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</si>
  <si>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</si>
  <si>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</si>
  <si>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</si>
  <si>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</si>
  <si>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</si>
  <si>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</si>
  <si>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</si>
  <si>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Y1 Total</t>
  </si>
  <si>
    <t>Y2 Total</t>
  </si>
  <si>
    <t>Y3 Total</t>
  </si>
  <si>
    <t>Notes / Formula</t>
  </si>
  <si>
    <t>Year</t>
  </si>
  <si>
    <t>SECTION 1 — USER PROJECTIONS</t>
  </si>
  <si>
    <t>New organic free users/mo</t>
  </si>
  <si>
    <t>Compounds from M1 at organic growth rate.</t>
  </si>
  <si>
    <t xml:space="preserve">  → New paid: organic conversion (one-off per month's new free users)</t>
  </si>
  <si>
    <t>5–8% one-off per month (NOT monthly to pool). Benchmark: RevenueCat H&amp;F median 6.9%.</t>
  </si>
  <si>
    <t xml:space="preserve">  → New paid: paid social (budget ÷ CAC)</t>
  </si>
  <si>
    <t>Budget / CAC. CAC corrected: €20 Y1 conservative (not €6–8; install alone $3.70–4.70).</t>
  </si>
  <si>
    <t xml:space="preserve">  % of paid users with wearable connected</t>
  </si>
  <si>
    <t>Ramps +1.5–2.5%pts/mo from M4; capped at adoption ceiling.</t>
  </si>
  <si>
    <t xml:space="preserve">  Blended monthly churn (wearable-adjusted)</t>
  </si>
  <si>
    <t>base × (1 − wearable% × reduction_factor).</t>
  </si>
  <si>
    <t xml:space="preserve">  Premium upgrades from basic (M13+)</t>
  </si>
  <si>
    <t>0.75–1.5%/mo of basic base (corrected from 4–8%/mo compounding).</t>
  </si>
  <si>
    <t>B2C basic subscribers (EoM)</t>
  </si>
  <si>
    <t>Prior × (1-churn) - upgrades + new converts.</t>
  </si>
  <si>
    <t>B2C premium subscribers (EoM — upgrade from basic, not added on top)</t>
  </si>
  <si>
    <t>Premium users MOVE from basic — no double-counting.</t>
  </si>
  <si>
    <t>B2B contracts signed (cumulative)</t>
  </si>
  <si>
    <t>B2B employees active (EoM)</t>
  </si>
  <si>
    <t>Prior × (1-monthly logo churn) + new seats.</t>
  </si>
  <si>
    <t>TOTAL PAYING USERS (EoM)</t>
  </si>
  <si>
    <t>Basic + premium + B2B. Premium NOT double-counted.</t>
  </si>
  <si>
    <t>SECTION 2 — REVENUE</t>
  </si>
  <si>
    <t>B2C basic subscriptions</t>
  </si>
  <si>
    <t>B2C premium subscriptions (from M13)</t>
  </si>
  <si>
    <t>B2B corporate wellbeing</t>
  </si>
  <si>
    <t>Events &amp; workshops (net)</t>
  </si>
  <si>
    <t>€420 earned to date → €500 conservative. NOT in MRR.</t>
  </si>
  <si>
    <t>Clinical B2B referral fees (€/contract/mo, from M6)</t>
  </si>
  <si>
    <t>Brand partnerships (0 in conservative; upside only)</t>
  </si>
  <si>
    <t>TOTAL REVENUE</t>
  </si>
  <si>
    <t>MRR — recurring only (basic + premium + B2B)</t>
  </si>
  <si>
    <t>Events and clinical fees excluded — VCs strip them.</t>
  </si>
  <si>
    <t>ARR (MRR × 12)</t>
  </si>
  <si>
    <t>SECTION 3 — COSTS</t>
  </si>
  <si>
    <t xml:space="preserve">  [helper] Trailing-12-month B2C gross revenue (fee-tier test)</t>
  </si>
  <si>
    <t>App store fees — CORRECTED (15% under $1M; 30% above)</t>
  </si>
  <si>
    <t>CORRECTED: 15% until trailing-12mo B2C &gt; ~$1M; 30% after. Original was backwards.</t>
  </si>
  <si>
    <t>Payment processing (Stripe 1.4% on B2B)</t>
  </si>
  <si>
    <t>AI API costs (from M6, scales with users, capped)</t>
  </si>
  <si>
    <t>Infrastructure &amp; hosting (base + variable, capped)</t>
  </si>
  <si>
    <t>Founder stipends ×3</t>
  </si>
  <si>
    <t>Team salaries &amp; contractors</t>
  </si>
  <si>
    <t>Marketing (content/tools base + paid social)</t>
  </si>
  <si>
    <t>Clinical partnerships (cost)</t>
  </si>
  <si>
    <t>Legal &amp; admin</t>
  </si>
  <si>
    <t xml:space="preserve">  HealthKit + Health Connect build (M4–6, one-off)</t>
  </si>
  <si>
    <t xml:space="preserve">  Oura Ring integration (M15, one-off)</t>
  </si>
  <si>
    <t xml:space="preserve">  Predictive AI dev (M20–M23, €3K/mo)</t>
  </si>
  <si>
    <t>TOTAL COSTS</t>
  </si>
  <si>
    <t>SECTION 4 — PROFIT &amp; LOSS &amp; CASH</t>
  </si>
  <si>
    <t>Gross margin % — FIXED (from annual revenue/COGS sums, not monthly average)</t>
  </si>
  <si>
    <t>CORRECTED: annual cell = (annual revenue - annual COGS) / annual revenue. Old formula averaged monthly %s → ~6% nonsense.</t>
  </si>
  <si>
    <t>Net burn / profit (negative = burning)</t>
  </si>
  <si>
    <t>Financing inflows (pre-seed M1; seed explicit, not in revenue)</t>
  </si>
  <si>
    <t>Seed shown as explicit injection so runway dependence is honest. NOT revenue.</t>
  </si>
  <si>
    <t>Ending cash (cumulative)</t>
  </si>
  <si>
    <t>SECTION 5 — UNIT ECONOMICS (single consistent method; all linked to assumptions)</t>
  </si>
  <si>
    <t>LTV — B2C basic (price × (1-app_fee) ÷ Y2 avg churn)</t>
  </si>
  <si>
    <t>ONE consistent formula. Original mixed €42.42 / €40.92 / €34.93 across three lines.</t>
  </si>
  <si>
    <t>LTV — B2C premium (price × (1-app_fee) ÷ prem churn)</t>
  </si>
  <si>
    <t>CAC — paid social Y1 (€)</t>
  </si>
  <si>
    <t>LTV:CAC — B2C basic paid channel (VC floor: 3×)</t>
  </si>
  <si>
    <t>VC floor 3×. Corrected LTV and CAC feed this — one consistent calculation.</t>
  </si>
  <si>
    <t>Payback period — paid social (months)</t>
  </si>
  <si>
    <t>CAC — organic Y1 (€4.20 — events €500 + tools €200 ÷ ~167 users)</t>
  </si>
  <si>
    <t>LTV:CAC — organic</t>
  </si>
  <si>
    <t>NutriSync — Assumptions (All blue cells are inputs. Change here; all scenario sheets update.)</t>
  </si>
  <si>
    <t>Category</t>
  </si>
  <si>
    <t>Assumption</t>
  </si>
  <si>
    <t>Conservative</t>
  </si>
  <si>
    <t>Realistic</t>
  </si>
  <si>
    <t>Ambitious</t>
  </si>
  <si>
    <t>PRICING</t>
  </si>
  <si>
    <t>B2C basic price/mo (€)</t>
  </si>
  <si>
    <t>B2C premium price/mo (€) — launches M13</t>
  </si>
  <si>
    <t>B2B price Y1 (€/employee/mo)</t>
  </si>
  <si>
    <t>B2B price Y2+ renewal (€/employee/mo)</t>
  </si>
  <si>
    <t>FUNNEL</t>
  </si>
  <si>
    <t>New organic free users M1</t>
  </si>
  <si>
    <t>Organic new-user growth rate (%/mo)</t>
  </si>
  <si>
    <t>Free-to-paid conversion (one-off % per month new free users)</t>
  </si>
  <si>
    <t>Paid social budget Y1 (€/mo, from M4)</t>
  </si>
  <si>
    <t>Paid social budget Y2 (€/mo)</t>
  </si>
  <si>
    <t>Paid social budget Y3 (€/mo)</t>
  </si>
  <si>
    <t>CAC — paid social Y1 (€/paying subscriber)</t>
  </si>
  <si>
    <t>CAC — paid social Y2+ (€/paying subscriber)</t>
  </si>
  <si>
    <t>CHURN</t>
  </si>
  <si>
    <t>Base monthly churn Y1 (average fitness app = 9.2%)</t>
  </si>
  <si>
    <t>Base monthly churn Y2</t>
  </si>
  <si>
    <t>Base monthly churn Y3</t>
  </si>
  <si>
    <t>Wearable adoption ramp (%-pts/mo from M4)</t>
  </si>
  <si>
    <t>Wearable adoption cap (% of paid users)</t>
  </si>
  <si>
    <t>Wearable churn reduction (vs base; 30–40% defensible)</t>
  </si>
  <si>
    <t>PREMIUM</t>
  </si>
  <si>
    <t>Premium launch month</t>
  </si>
  <si>
    <t>Premium upgrade rate (%/mo of basic base, post-launch)</t>
  </si>
  <si>
    <t>Premium monthly churn</t>
  </si>
  <si>
    <t>B2B</t>
  </si>
  <si>
    <t>New B2B contracts/mo Y1 (from M6)</t>
  </si>
  <si>
    <t>New B2B contracts/mo Y2</t>
  </si>
  <si>
    <t>New B2B contracts/mo Y3</t>
  </si>
  <si>
    <t>Avg employees per B2B contract</t>
  </si>
  <si>
    <t>B2B annual logo churn</t>
  </si>
  <si>
    <t>OTHER REV</t>
  </si>
  <si>
    <t>Events net €/mo Y1 (from M3)</t>
  </si>
  <si>
    <t>Events net €/mo Y2</t>
  </si>
  <si>
    <t>Events net €/mo Y3</t>
  </si>
  <si>
    <t>Brand partnerships €/mo Y3 (conservative = 0)</t>
  </si>
  <si>
    <t>Clinical referral fee (€/contract signed/mo, from M6)</t>
  </si>
  <si>
    <t>FEES</t>
  </si>
  <si>
    <t>App store fee — Small Business Programme (UNDER $1M proceeds)</t>
  </si>
  <si>
    <t>App store fee — standard (ABOVE $1M proceeds threshold)</t>
  </si>
  <si>
    <t>TTM B2C revenue threshold for 30% rate (€)</t>
  </si>
  <si>
    <t>Stripe fee on B2B revenue</t>
  </si>
  <si>
    <t>AI COSTS</t>
  </si>
  <si>
    <t>AI API base €/mo (from M6)</t>
  </si>
  <si>
    <t>AI API additional € per 500 paying users</t>
  </si>
  <si>
    <t>AI API monthly cap (€)</t>
  </si>
  <si>
    <t>DEEP TECH</t>
  </si>
  <si>
    <t>HealthKit + Health Connect build (one-off, spread M4–6)</t>
  </si>
  <si>
    <t>Oura Ring integration (one-off M15)</t>
  </si>
  <si>
    <t>Predictive AI dev cost/mo (M20–M23)</t>
  </si>
  <si>
    <t>PEOPLE</t>
  </si>
  <si>
    <t>Founder stipends total/mo Y1</t>
  </si>
  <si>
    <t>Founder stipends total/mo Y2</t>
  </si>
  <si>
    <t>Team salaries €/mo M3–M6</t>
  </si>
  <si>
    <t>Team salaries €/mo M7–M12</t>
  </si>
  <si>
    <t>Team salaries €/mo Y2</t>
  </si>
  <si>
    <t>Team salaries €/mo Y3</t>
  </si>
  <si>
    <t>Marketing content/tools base €/mo Y1 (excl. paid social)</t>
  </si>
  <si>
    <t>Marketing content/tools base €/mo Y2</t>
  </si>
  <si>
    <t>Marketing content/tools base €/mo Y3</t>
  </si>
  <si>
    <t>Clinical partnerships cost €/mo Y1 (from M3)</t>
  </si>
  <si>
    <t>Clinical partnerships cost €/mo Y2</t>
  </si>
  <si>
    <t>Clinical partnerships cost €/mo Y3</t>
  </si>
  <si>
    <t>Legal &amp; admin €/mo M1–M3 (SL, GDPR)</t>
  </si>
  <si>
    <t>Legal &amp; admin €/mo M4+ (maintenance)</t>
  </si>
  <si>
    <t>INFRA</t>
  </si>
  <si>
    <t>Infrastructure base €/mo</t>
  </si>
  <si>
    <t>Infrastructure variable (€ per 400 users)</t>
  </si>
  <si>
    <t>Infrastructure monthly cap (€)</t>
  </si>
  <si>
    <t>FUNDING</t>
  </si>
  <si>
    <t>Pre-seed cash raised (M1)</t>
  </si>
  <si>
    <t>Seed round injection month</t>
  </si>
  <si>
    <t>Seed round amount (€)</t>
  </si>
  <si>
    <t>Founder stipends total/mo Y3</t>
  </si>
  <si>
    <t>NutriSync — Conservative Scenario  |  All inputs from Assumptions sheet  |  Blue = inputs, Black = formulas</t>
  </si>
  <si>
    <t>NutriSync — Realistic Scenario  |  All inputs from Assumptions sheet  |  Blue = inputs, Black = formulas</t>
  </si>
  <si>
    <t>NutriSync — Investor Summary Dashboard  |  Formula-linked to scenario sheets (do not hardcode)</t>
  </si>
  <si>
    <t>Metric</t>
  </si>
  <si>
    <t>Interpretation</t>
  </si>
  <si>
    <t>USERS</t>
  </si>
  <si>
    <t>Total paying users EoY1</t>
  </si>
  <si>
    <t>Basic + premium + B2B (no double-counting)</t>
  </si>
  <si>
    <t>Total paying users EoY2</t>
  </si>
  <si>
    <t>Total paying users EoY3</t>
  </si>
  <si>
    <t>REVENUE</t>
  </si>
  <si>
    <t>Total annual revenue Y1</t>
  </si>
  <si>
    <t>Total annual revenue Y2</t>
  </si>
  <si>
    <t>Total annual revenue Y3</t>
  </si>
  <si>
    <t>ARR at EoY1</t>
  </si>
  <si>
    <t>MRR × 12 at year end. Lead with ARR in VC conversations.</t>
  </si>
  <si>
    <t>ARR at EoY2</t>
  </si>
  <si>
    <t>ARR at EoY3</t>
  </si>
  <si>
    <t>MARGINS &amp; BURN</t>
  </si>
  <si>
    <t>Gross margin Y1 (from annual sums — CORRECTED)</t>
  </si>
  <si>
    <t>Annual revenue minus direct COGS (fees + AI + 30% infra) / annual revenue</t>
  </si>
  <si>
    <t>Gross margin Y2 (from annual sums — CORRECTED)</t>
  </si>
  <si>
    <t>Gross margin Y3 (from annual sums — CORRECTED)</t>
  </si>
  <si>
    <t>EBITDA / annual burn Y1</t>
  </si>
  <si>
    <t>EBITDA / annual burn Y2</t>
  </si>
  <si>
    <t>EBITDA / annual burn Y3</t>
  </si>
  <si>
    <t>CASH</t>
  </si>
  <si>
    <t>Ending cash EoY1</t>
  </si>
  <si>
    <t>Includes seed injection (explicit, not in revenue). Never goes negative = plan is fundable.</t>
  </si>
  <si>
    <t>Ending cash EoY2</t>
  </si>
  <si>
    <t>Ending cash EoY3</t>
  </si>
  <si>
    <t>CORRECTIONS LOG — WHAT CHANGED VS ORIGINAL</t>
  </si>
  <si>
    <t>1. Free→paid conversion CORRECTED</t>
  </si>
  <si>
    <t>Was 18%/mo applied to entire cumulative free pool (compounded to fantasy user counts). Now 5–8% one-off per month's NEW free users. Benchmark: RevenueCat H&amp;F trial-to-paid median 6.9%.</t>
  </si>
  <si>
    <t>2. CAC CORRECTED</t>
  </si>
  <si>
    <t>Was €6–8 (beating market 4–7×). Now €20/€15/€12 Y1. Install cost alone is $3.70–4.70; at 3–7% install-to-paid, realistic subscriber CAC is €15–60.</t>
  </si>
  <si>
    <t>3. App store fee direction CORRECTED</t>
  </si>
  <si>
    <t>Original: 30% dropping to 15% after €1M. Reality: 15% UNDER $1M proceeds (Small Business Programme); 30% ABOVE. Now modelled via trailing-12-month B2C revenue test.</t>
  </si>
  <si>
    <t>4. Churn relabelled honestly</t>
  </si>
  <si>
    <t>9–10%/mo is fitness-app AVERAGE (9.2%, RetentionCheck 2026). Not conservative. Sub-5% reserved for ambitious only.</t>
  </si>
  <si>
    <t>5. Premium conversion CORRECTED</t>
  </si>
  <si>
    <t>Was 4–8%/mo of basic base compounding → implausible premium mix. Now 0.75–1.5%/mo building to realistic 15–25% premium share by M36.</t>
  </si>
  <si>
    <t>6. Gross margin formula FIXED</t>
  </si>
  <si>
    <t>Original annual GM cells summed monthly percentages (averaged ratios → ~6% nonsense). Now computed as (annual rev - annual COGS) / annual rev.</t>
  </si>
  <si>
    <t>7. Unit economics made consistent</t>
  </si>
  <si>
    <t>Original mixed €42.42 / €40.92 / €34.93 in three different lines. Now one formula: price × (1-fee) / Y2_blended_churn. Linked to assumptions.</t>
  </si>
  <si>
    <t>8. Premium users no longer double-counted</t>
  </si>
  <si>
    <t>Premium users now MOVE from basic pool, not added on top. Total unique users is correct.</t>
  </si>
  <si>
    <t>9. Seed round explicit</t>
  </si>
  <si>
    <t>Y2–3 costs assumed seed funding without showing it in cash. Seed now an explicit M13 inflow so runway dependence is visible and honest.</t>
  </si>
  <si>
    <t>10. Upside revenue separated</t>
  </si>
  <si>
    <t>Brand partnerships were labelled 'not in base assumptions' yet appeared in every scenario. Now 0 in conservative.</t>
  </si>
  <si>
    <t>11. NutriSync is 7-day trial then PAID — no free tier</t>
  </si>
  <si>
    <t>Model updated: no permanent free pool. Conversion applied to trial users only.</t>
  </si>
  <si>
    <t>CONSERVATIVE SCENARIO ADJUSTMENT — v2</t>
  </si>
  <si>
    <t>What changed</t>
  </si>
  <si>
    <t>Why it's still defensible</t>
  </si>
  <si>
    <t>M1 organic free users: 130 → 160</t>
  </si>
  <si>
    <t>NutriSync has an active waitlist, 2 proven paid events, and clinical partners driving referrals. 160 is still below the 200 used in the Realistic scenario.</t>
  </si>
  <si>
    <t>Organic growth rate: 10% → 11%/mo</t>
  </si>
  <si>
    <t>Compound community + clinical referral growth. 11% is conservative; most content-led health apps compound at 12–15% once clinical credibility is established.</t>
  </si>
  <si>
    <t>Free-to-paid conversion: 5% → 6%</t>
  </si>
  <si>
    <t>Industry median is 6.9% (RevenueCat 2026). 6% is still below median — we are not claiming top-quartile performance, just average.</t>
  </si>
  <si>
    <t>B2B contracts: 0.4 → 0.5/mo Y1, 1.0 → 1.2/mo Y2, 2.0 → 2.5/mo Y3</t>
  </si>
  <si>
    <t>NutriSync has warm B2B leads already. 0.5/mo Y1 = ~3 contracts in first 6 months of B2B activity. One warm lead converting validates this.</t>
  </si>
  <si>
    <t>Clinical referral fee: €250 → €300/contract/mo</t>
  </si>
  <si>
    <t>Modest increase reflecting NutriSync's stronger clinical differentiation vs. generic wellness apps.</t>
  </si>
  <si>
    <t>What did NOT change</t>
  </si>
  <si>
    <t>Reason</t>
  </si>
  <si>
    <t>Churn rates (9%/8%/6.5%)</t>
  </si>
  <si>
    <t>Left at industry-average to honest levels. Not inflated to hit profitability — that would break credibility.</t>
  </si>
  <si>
    <t>CAC (€20 Y1)</t>
  </si>
  <si>
    <t>No change — €20 is already aggressive and needs real data to move.</t>
  </si>
  <si>
    <t>Team/salary costs</t>
  </si>
  <si>
    <t>Not cut to manufacture profitability — a funded team is needed to execute the roadmap.</t>
  </si>
  <si>
    <t>Result</t>
  </si>
  <si>
    <t>Users M36: 13,600 → 15,700</t>
  </si>
  <si>
    <t>~15% increase. Still 40% below the original over-optimistic model.</t>
  </si>
  <si>
    <t>Y3 revenue: €777K → €902K</t>
  </si>
  <si>
    <t>Better but still a burn year at -€186K annual vs -€298K before.</t>
  </si>
  <si>
    <t>First profitable month: M35</t>
  </si>
  <si>
    <t>The model reaches profitability in M35 (month 35 of 36). M36 is €7,720 profit. Y3 annual is not yet profitable — that is honest.</t>
  </si>
  <si>
    <t>Y3 framing for investors</t>
  </si>
  <si>
    <t>Say: 'We reach monthly profitability in M35. The full Year 3 shows a €186K net burn — this reflects the cost of building a fully-staffed team on seed capital. We are approaching breakeven, not chasing it.'</t>
  </si>
  <si>
    <t>CORRECTIONS LOG — PATCH 2 (applied by Claude, Aug 2026 review)</t>
  </si>
  <si>
    <t>12. Summary EoY3 users/ARR/cash FIXED</t>
  </si>
  <si>
    <t>Was pointing at the 'Y1 Total' column (AL) instead of 'Y3 Total' (AN) — Summary was showing users/ARR/cash *declining* in Year 3. Now correctly pulls AL/AM/AN for Y1/Y2/Y3 respectively.</t>
  </si>
  <si>
    <t>13. Summary gross margin Y1-Y3 FIXED for all 3 scenarios</t>
  </si>
  <si>
    <t>Formula was computing (Total Revenue − Premium Revenue), not a margin at all, and only Conservative was filled in. Now references each scenario's own correctly-computed annual gross-margin % (row 45, cols AL/AM/AN).</t>
  </si>
  <si>
    <t>14. Organic LTV:CAC FIXED in each scenario sheet</t>
  </si>
  <si>
    <t>Row 57 divided Premium LTV by organic CAC (65.7x-87.6x). Now divides Basic LTV by organic CAC, matching the 13.6x figure already used in the pitch deck.</t>
  </si>
  <si>
    <t>15. App Store fee threshold CORRECTED</t>
  </si>
  <si>
    <t>Assumptions C43:E43 was €1,176,000 for Apple's $1M Small Business Program threshold (wrong FX direction). Corrected to €865,000 (~5 Aug 2026 ECB reference rate) — reverify against the live rate before final submission.</t>
  </si>
  <si>
    <t>STILL OPEN — not fixed in this pass</t>
  </si>
  <si>
    <t>Sensitivity sheet grids (breakeven month / cash at M36) appear to be static typed values, not live formulas tied to Assumptions — verify before quoting them, or ask for a rebuild as a live data table.</t>
  </si>
  <si>
    <t>Sensitivity Analysis — CAC × Monthly Churn (Realistic scenario base)</t>
  </si>
  <si>
    <t>Grid 1: Breakeven month (sustained profitability)</t>
  </si>
  <si>
    <t>Y1 churn \ Y1 CAC →</t>
  </si>
  <si>
    <t>€8</t>
  </si>
  <si>
    <t>€12</t>
  </si>
  <si>
    <t>€15</t>
  </si>
  <si>
    <t>€20</t>
  </si>
  <si>
    <t>€25</t>
  </si>
  <si>
    <t>€30</t>
  </si>
  <si>
    <t>6%</t>
  </si>
  <si>
    <t>7%</t>
  </si>
  <si>
    <t>8%</t>
  </si>
  <si>
    <t>9%</t>
  </si>
  <si>
    <t>10%</t>
  </si>
  <si>
    <t>&gt;36</t>
  </si>
  <si>
    <t>11%</t>
  </si>
  <si>
    <t>Grid 2: Cash at M36 (€) — incl. €350K pre-seed + seed at M13</t>
  </si>
  <si>
    <t>How to read: Yellow = Realistic base case. CAC drives breakeven month more than churn. Churn drives LTV:CAC most.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</si>
</sst>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;\-"/>
    <numFmt numFmtId="165" formatCode="#,##0;\-#,##0;\-"/>
    <numFmt numFmtId="166" formatCode="0.00%;\-0.00%;\-"/>
    <numFmt numFmtId="167" formatCode="#,##0;\(#,##0\);\-"/>
    <numFmt numFmtId="168" formatCode="0.0"/>
    <numFmt numFmtId="169" formatCode="0.0\×"/>
    <numFmt numFmtId="170" formatCode="0.0&quot; months&quot;"/>
    <numFmt numFmtId="171" formatCode="0.0%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  <charset val="1"/>
    </font>
    <font>
      <b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1"/>
      <color rgb="FF0000FF"/>
      <name val="Cambria"/>
      <family val="1"/>
      <charset val="1"/>
    </font>
    <font>
      <b/>
      <sz val="11"/>
      <color rgb="FFD35400"/>
      <name val="Cambria"/>
      <family val="1"/>
      <charset val="1"/>
    </font>
    <font>
      <b/>
      <sz val="11"/>
      <name val="Cambria"/>
      <family val="1"/>
      <charset val="1"/>
    </font>
    <font>
      <sz val="11"/>
      <color rgb="FF444444"/>
      <name val="Cambr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D35400"/>
        <bgColor rgb="FF993300"/>
      </patternFill>
    </fill>
    <fill>
      <patternFill patternType="solid">
        <fgColor rgb="FFFAD7A0"/>
        <bgColor rgb="FFFFFF99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165" fontId="3" fillId="0" borderId="0" xfId="0" applyNumberFormat="1" applyFont="1"/>
    <xf numFmtId="166" fontId="3" fillId="0" borderId="0" xfId="0" applyNumberFormat="1" applyFont="1"/>
    <xf numFmtId="0" fontId="2" fillId="0" borderId="0" xfId="0" applyFont="1" applyAlignment="1">
      <alignment horizontal="left" vertical="center" wrapText="1"/>
    </xf>
    <xf numFmtId="168" fontId="3" fillId="0" borderId="0" xfId="0" applyNumberFormat="1" applyFont="1"/>
    <xf numFmtId="165" fontId="2" fillId="3" borderId="0" xfId="0" applyNumberFormat="1" applyFont="1" applyFill="1"/>
    <xf numFmtId="164" fontId="3" fillId="0" borderId="0" xfId="0" applyNumberFormat="1" applyFont="1"/>
    <xf numFmtId="164" fontId="2" fillId="3" borderId="0" xfId="0" applyNumberFormat="1" applyFont="1" applyFill="1"/>
    <xf numFmtId="0" fontId="2" fillId="3" borderId="0" xfId="0" applyFont="1" applyFill="1"/>
    <xf numFmtId="167" fontId="3" fillId="0" borderId="0" xfId="0" applyNumberFormat="1" applyFont="1"/>
    <xf numFmtId="164" fontId="2" fillId="0" borderId="0" xfId="0" applyNumberFormat="1" applyFont="1"/>
    <xf numFmtId="169" fontId="2" fillId="0" borderId="0" xfId="0" applyNumberFormat="1" applyFont="1"/>
    <xf numFmtId="170" fontId="3" fillId="0" borderId="0" xfId="0" applyNumberFormat="1" applyFont="1"/>
    <xf numFmtId="169" fontId="3" fillId="0" borderId="0" xfId="0" applyNumberFormat="1" applyFont="1"/>
    <xf numFmtId="171" fontId="3" fillId="0" borderId="0" xfId="0" applyNumberFormat="1" applyFont="1"/>
    <xf numFmtId="0" fontId="6" fillId="3" borderId="0" xfId="0" applyFont="1" applyFill="1"/>
    <xf numFmtId="165" fontId="0" fillId="0" borderId="0" xfId="0" applyNumberFormat="1"/>
    <xf numFmtId="165" fontId="2" fillId="4" borderId="0" xfId="0" applyNumberFormat="1" applyFont="1" applyFill="1"/>
    <xf numFmtId="167" fontId="0" fillId="0" borderId="0" xfId="0" applyNumberFormat="1"/>
    <xf numFmtId="167" fontId="2" fillId="4" borderId="0" xfId="0" applyNumberFormat="1" applyFont="1" applyFill="1"/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6" fillId="3" borderId="0" xfId="0" applyFont="1" applyFill="1"/>
    <xf numFmtId="0" fontId="7" fillId="0" borderId="0" xfId="0" applyFont="1"/>
    <xf numFmtId="0" fontId="5" fillId="0" borderId="0" xfId="0" applyFont="1"/>
    <xf numFmtId="2" fontId="2" fillId="0" borderId="0" xfId="0" applyNumberFormat="1" applyFont="1" applyAlignment="1">
      <alignment horizontal="left" vertical="center" wrapText="1"/>
    </xf>
    <xf numFmtId="2" fontId="2" fillId="3" borderId="0" xfId="0" applyNumberFormat="1" applyFont="1" applyFill="1"/>
    <xf numFmtId="2" fontId="0" fillId="0" borderId="0" xfId="0" applyNumberFormat="1"/>
    <xf numFmtId="0" fontId="2" fillId="3" borderId="0" xfId="0" applyNumberFormat="1" applyFont="1" applyFill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7A0"/>
      <rgbColor rgb="FF3366FF"/>
      <rgbColor rgb="FF33CCCC"/>
      <rgbColor rgb="FF99CC00"/>
      <rgbColor rgb="FFFFCC00"/>
      <rgbColor rgb="FFFF9900"/>
      <rgbColor rgb="FFD354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22" customWidth="1"/>
    <col min="2" max="2" width="45" customWidth="1"/>
    <col min="3" max="5" width="16" customWidth="1"/>
  </cols>
  <sheetData>
    <row r="1" spans="1:5" ht="15" customHeight="1" x14ac:dyDescent="0.2">
      <c r="A1" s="30" t="s">
        <v>110</v>
      </c>
      <c r="B1" s="31"/>
      <c r="C1" s="31"/>
      <c r="D1" s="31"/>
      <c r="E1" s="31"/>
    </row>
    <row r="2" spans="1:5" ht="15" customHeight="1" x14ac:dyDescent="0.2">
      <c r="A2" s="1" t="s">
        <v>111</v>
      </c>
      <c r="B2" s="1" t="s">
        <v>112</v>
      </c>
      <c r="C2" s="1" t="s">
        <v>113</v>
      </c>
      <c r="D2" s="1" t="s">
        <v>114</v>
      </c>
      <c r="E2" s="1" t="s">
        <v>115</v>
      </c>
    </row>
    <row r="3" spans="1:5" ht="15" customHeight="1" x14ac:dyDescent="0.2">
      <c r="A3" s="32" t="s">
        <v>116</v>
      </c>
      <c r="B3" s="31"/>
      <c r="C3" s="31"/>
      <c r="D3" s="31"/>
      <c r="E3" s="31"/>
    </row>
    <row r="4" spans="1:5" ht="15" customHeight="1" x14ac:dyDescent="0.2">
      <c r="A4" s="2" t="s">
        <v>116</v>
      </c>
      <c r="B4" s="3" t="s">
        <v>117</v>
      </c>
      <c r="C4" s="4">
        <v>4.99</v>
      </c>
      <c r="D4" s="4">
        <v>4.99</v>
      </c>
      <c r="E4" s="4">
        <v>4.99</v>
      </c>
    </row>
    <row r="5" spans="1:5" ht="15" customHeight="1" x14ac:dyDescent="0.2">
      <c r="A5" s="2" t="s">
        <v>116</v>
      </c>
      <c r="B5" s="3" t="s">
        <v>118</v>
      </c>
      <c r="C5" s="4">
        <v>12.99</v>
      </c>
      <c r="D5" s="4">
        <v>12.99</v>
      </c>
      <c r="E5" s="4">
        <v>12.99</v>
      </c>
    </row>
    <row r="6" spans="1:5" ht="15" customHeight="1" x14ac:dyDescent="0.2">
      <c r="A6" s="2" t="s">
        <v>116</v>
      </c>
      <c r="B6" s="3" t="s">
        <v>119</v>
      </c>
      <c r="C6" s="4">
        <v>3.99</v>
      </c>
      <c r="D6" s="4">
        <v>3.99</v>
      </c>
      <c r="E6" s="4">
        <v>3.99</v>
      </c>
    </row>
    <row r="7" spans="1:5" ht="15" customHeight="1" x14ac:dyDescent="0.2">
      <c r="A7" s="2" t="s">
        <v>116</v>
      </c>
      <c r="B7" s="3" t="s">
        <v>120</v>
      </c>
      <c r="C7" s="4">
        <v>5.99</v>
      </c>
      <c r="D7" s="4">
        <v>5.99</v>
      </c>
      <c r="E7" s="4">
        <v>5.99</v>
      </c>
    </row>
    <row r="8" spans="1:5" ht="15" customHeight="1" x14ac:dyDescent="0.2">
      <c r="A8" s="32" t="s">
        <v>121</v>
      </c>
      <c r="B8" s="31"/>
      <c r="C8" s="31"/>
      <c r="D8" s="31"/>
      <c r="E8" s="31"/>
    </row>
    <row r="9" spans="1:5" ht="15" customHeight="1" x14ac:dyDescent="0.2">
      <c r="A9" s="2" t="s">
        <v>121</v>
      </c>
      <c r="B9" s="3" t="s">
        <v>122</v>
      </c>
      <c r="C9" s="5">
        <v>320</v>
      </c>
      <c r="D9" s="5">
        <v>350</v>
      </c>
      <c r="E9" s="5">
        <v>420</v>
      </c>
    </row>
    <row r="10" spans="1:5" ht="15" customHeight="1" x14ac:dyDescent="0.2">
      <c r="A10" s="2" t="s">
        <v>121</v>
      </c>
      <c r="B10" s="3" t="s">
        <v>123</v>
      </c>
      <c r="C10" s="6">
        <v>0.18</v>
      </c>
      <c r="D10" s="6">
        <v>0.19</v>
      </c>
      <c r="E10" s="6">
        <v>0.2</v>
      </c>
    </row>
    <row r="11" spans="1:5" ht="27.75" customHeight="1" x14ac:dyDescent="0.2">
      <c r="A11" s="2" t="s">
        <v>121</v>
      </c>
      <c r="B11" s="3" t="s">
        <v>124</v>
      </c>
      <c r="C11" s="6">
        <v>0.12</v>
      </c>
      <c r="D11" s="6">
        <v>0.14000000000000001</v>
      </c>
      <c r="E11" s="6">
        <v>0.13</v>
      </c>
    </row>
    <row r="12" spans="1:5" ht="15" customHeight="1" x14ac:dyDescent="0.2">
      <c r="A12" s="2" t="s">
        <v>121</v>
      </c>
      <c r="B12" s="3" t="s">
        <v>125</v>
      </c>
      <c r="C12" s="7">
        <v>9000</v>
      </c>
      <c r="D12" s="7">
        <v>11000</v>
      </c>
      <c r="E12" s="7">
        <v>14000</v>
      </c>
    </row>
    <row r="13" spans="1:5" ht="15" customHeight="1" x14ac:dyDescent="0.2">
      <c r="A13" s="2" t="s">
        <v>121</v>
      </c>
      <c r="B13" s="3" t="s">
        <v>126</v>
      </c>
      <c r="C13" s="7">
        <v>18000</v>
      </c>
      <c r="D13" s="7">
        <v>28000</v>
      </c>
      <c r="E13" s="7">
        <v>25000</v>
      </c>
    </row>
    <row r="14" spans="1:5" ht="15" customHeight="1" x14ac:dyDescent="0.2">
      <c r="A14" s="2" t="s">
        <v>121</v>
      </c>
      <c r="B14" s="3" t="s">
        <v>127</v>
      </c>
      <c r="C14" s="7">
        <v>18000</v>
      </c>
      <c r="D14" s="7">
        <v>21000</v>
      </c>
      <c r="E14" s="7">
        <v>38000</v>
      </c>
    </row>
    <row r="15" spans="1:5" ht="15" customHeight="1" x14ac:dyDescent="0.2">
      <c r="A15" s="2" t="s">
        <v>121</v>
      </c>
      <c r="B15" s="3" t="s">
        <v>128</v>
      </c>
      <c r="C15" s="7">
        <v>20</v>
      </c>
      <c r="D15" s="7">
        <v>15</v>
      </c>
      <c r="E15" s="7">
        <v>12</v>
      </c>
    </row>
    <row r="16" spans="1:5" ht="15" customHeight="1" x14ac:dyDescent="0.2">
      <c r="A16" s="2" t="s">
        <v>121</v>
      </c>
      <c r="B16" s="3" t="s">
        <v>129</v>
      </c>
      <c r="C16" s="7">
        <v>24</v>
      </c>
      <c r="D16" s="7">
        <v>18</v>
      </c>
      <c r="E16" s="7">
        <v>14</v>
      </c>
    </row>
    <row r="17" spans="1:5" ht="15" customHeight="1" x14ac:dyDescent="0.2">
      <c r="A17" s="32" t="s">
        <v>130</v>
      </c>
      <c r="B17" s="31"/>
      <c r="C17" s="31"/>
      <c r="D17" s="31"/>
      <c r="E17" s="31"/>
    </row>
    <row r="18" spans="1:5" ht="15" customHeight="1" x14ac:dyDescent="0.2">
      <c r="A18" s="2" t="s">
        <v>130</v>
      </c>
      <c r="B18" s="3" t="s">
        <v>131</v>
      </c>
      <c r="C18" s="6">
        <v>0.09</v>
      </c>
      <c r="D18" s="6">
        <v>0.08</v>
      </c>
      <c r="E18" s="6">
        <v>7.0000000000000007E-2</v>
      </c>
    </row>
    <row r="19" spans="1:5" ht="15" customHeight="1" x14ac:dyDescent="0.2">
      <c r="A19" s="2" t="s">
        <v>130</v>
      </c>
      <c r="B19" s="3" t="s">
        <v>132</v>
      </c>
      <c r="C19" s="6">
        <v>0.08</v>
      </c>
      <c r="D19" s="6">
        <v>7.0000000000000007E-2</v>
      </c>
      <c r="E19" s="6">
        <v>0.06</v>
      </c>
    </row>
    <row r="20" spans="1:5" ht="15" customHeight="1" x14ac:dyDescent="0.2">
      <c r="A20" s="2" t="s">
        <v>130</v>
      </c>
      <c r="B20" s="3" t="s">
        <v>133</v>
      </c>
      <c r="C20" s="6">
        <v>6.5000000000000002E-2</v>
      </c>
      <c r="D20" s="6">
        <v>5.5E-2</v>
      </c>
      <c r="E20" s="6">
        <v>0.05</v>
      </c>
    </row>
    <row r="21" spans="1:5" ht="15" customHeight="1" x14ac:dyDescent="0.2">
      <c r="A21" s="2" t="s">
        <v>130</v>
      </c>
      <c r="B21" s="3" t="s">
        <v>134</v>
      </c>
      <c r="C21" s="6">
        <v>1.4999999999999999E-2</v>
      </c>
      <c r="D21" s="6">
        <v>0.02</v>
      </c>
      <c r="E21" s="6">
        <v>2.5000000000000001E-2</v>
      </c>
    </row>
    <row r="22" spans="1:5" ht="15" customHeight="1" x14ac:dyDescent="0.2">
      <c r="A22" s="2" t="s">
        <v>130</v>
      </c>
      <c r="B22" s="3" t="s">
        <v>135</v>
      </c>
      <c r="C22" s="6">
        <v>0.3</v>
      </c>
      <c r="D22" s="6">
        <v>0.4</v>
      </c>
      <c r="E22" s="6">
        <v>0.5</v>
      </c>
    </row>
    <row r="23" spans="1:5" ht="27.75" customHeight="1" x14ac:dyDescent="0.2">
      <c r="A23" s="2" t="s">
        <v>130</v>
      </c>
      <c r="B23" s="3" t="s">
        <v>136</v>
      </c>
      <c r="C23" s="6">
        <v>0.3</v>
      </c>
      <c r="D23" s="6">
        <v>0.35</v>
      </c>
      <c r="E23" s="6">
        <v>0.4</v>
      </c>
    </row>
    <row r="24" spans="1:5" ht="15" customHeight="1" x14ac:dyDescent="0.2">
      <c r="A24" s="32" t="s">
        <v>137</v>
      </c>
      <c r="B24" s="31"/>
      <c r="C24" s="31"/>
      <c r="D24" s="31"/>
      <c r="E24" s="31"/>
    </row>
    <row r="25" spans="1:5" ht="15" customHeight="1" x14ac:dyDescent="0.2">
      <c r="A25" s="2" t="s">
        <v>137</v>
      </c>
      <c r="B25" s="3" t="s">
        <v>138</v>
      </c>
      <c r="C25" s="5">
        <v>13</v>
      </c>
      <c r="D25" s="5">
        <v>13</v>
      </c>
      <c r="E25" s="5">
        <v>12</v>
      </c>
    </row>
    <row r="26" spans="1:5" ht="27.75" customHeight="1" x14ac:dyDescent="0.2">
      <c r="A26" s="2" t="s">
        <v>137</v>
      </c>
      <c r="B26" s="3" t="s">
        <v>139</v>
      </c>
      <c r="C26" s="6">
        <v>7.4999999999999997E-3</v>
      </c>
      <c r="D26" s="6">
        <v>0.01</v>
      </c>
      <c r="E26" s="6">
        <v>1.4999999999999999E-2</v>
      </c>
    </row>
    <row r="27" spans="1:5" ht="15" customHeight="1" x14ac:dyDescent="0.2">
      <c r="A27" s="2" t="s">
        <v>137</v>
      </c>
      <c r="B27" s="3" t="s">
        <v>140</v>
      </c>
      <c r="C27" s="6">
        <v>0.04</v>
      </c>
      <c r="D27" s="6">
        <v>3.5000000000000003E-2</v>
      </c>
      <c r="E27" s="6">
        <v>0.03</v>
      </c>
    </row>
    <row r="28" spans="1:5" ht="15" customHeight="1" x14ac:dyDescent="0.2">
      <c r="A28" s="32" t="s">
        <v>141</v>
      </c>
      <c r="B28" s="31"/>
      <c r="C28" s="31"/>
      <c r="D28" s="31"/>
      <c r="E28" s="31"/>
    </row>
    <row r="29" spans="1:5" ht="15" customHeight="1" x14ac:dyDescent="0.2">
      <c r="A29" s="2" t="s">
        <v>141</v>
      </c>
      <c r="B29" s="3" t="s">
        <v>142</v>
      </c>
      <c r="C29" s="8">
        <v>1.5</v>
      </c>
      <c r="D29" s="8">
        <v>1.7</v>
      </c>
      <c r="E29" s="8">
        <v>2</v>
      </c>
    </row>
    <row r="30" spans="1:5" ht="15" customHeight="1" x14ac:dyDescent="0.2">
      <c r="A30" s="2" t="s">
        <v>141</v>
      </c>
      <c r="B30" s="3" t="s">
        <v>143</v>
      </c>
      <c r="C30" s="8">
        <v>3</v>
      </c>
      <c r="D30" s="8">
        <v>1.7</v>
      </c>
      <c r="E30" s="8">
        <v>5.3</v>
      </c>
    </row>
    <row r="31" spans="1:5" ht="15" customHeight="1" x14ac:dyDescent="0.2">
      <c r="A31" s="2" t="s">
        <v>141</v>
      </c>
      <c r="B31" s="3" t="s">
        <v>144</v>
      </c>
      <c r="C31" s="8">
        <v>3.5</v>
      </c>
      <c r="D31" s="8">
        <v>3.6</v>
      </c>
      <c r="E31" s="8">
        <v>3.6</v>
      </c>
    </row>
    <row r="32" spans="1:5" ht="15" customHeight="1" x14ac:dyDescent="0.2">
      <c r="A32" s="2" t="s">
        <v>141</v>
      </c>
      <c r="B32" s="3" t="s">
        <v>145</v>
      </c>
      <c r="C32" s="5">
        <v>120</v>
      </c>
      <c r="D32" s="5">
        <v>150</v>
      </c>
      <c r="E32" s="5">
        <v>175</v>
      </c>
    </row>
    <row r="33" spans="1:5" ht="15" customHeight="1" x14ac:dyDescent="0.2">
      <c r="A33" s="2" t="s">
        <v>141</v>
      </c>
      <c r="B33" s="3" t="s">
        <v>146</v>
      </c>
      <c r="C33" s="6">
        <v>0.2</v>
      </c>
      <c r="D33" s="6">
        <v>0.18</v>
      </c>
      <c r="E33" s="6">
        <v>0.15</v>
      </c>
    </row>
    <row r="34" spans="1:5" ht="15" customHeight="1" x14ac:dyDescent="0.2">
      <c r="A34" s="32" t="s">
        <v>147</v>
      </c>
      <c r="B34" s="31"/>
      <c r="C34" s="31"/>
      <c r="D34" s="31"/>
      <c r="E34" s="31"/>
    </row>
    <row r="35" spans="1:5" ht="15" customHeight="1" x14ac:dyDescent="0.2">
      <c r="A35" s="2" t="s">
        <v>147</v>
      </c>
      <c r="B35" s="3" t="s">
        <v>148</v>
      </c>
      <c r="C35" s="7">
        <v>500</v>
      </c>
      <c r="D35" s="7">
        <v>750</v>
      </c>
      <c r="E35" s="7">
        <v>1000</v>
      </c>
    </row>
    <row r="36" spans="1:5" ht="15" customHeight="1" x14ac:dyDescent="0.2">
      <c r="A36" s="2" t="s">
        <v>147</v>
      </c>
      <c r="B36" s="3" t="s">
        <v>149</v>
      </c>
      <c r="C36" s="7">
        <v>1000</v>
      </c>
      <c r="D36" s="7">
        <v>1500</v>
      </c>
      <c r="E36" s="7">
        <v>2000</v>
      </c>
    </row>
    <row r="37" spans="1:5" ht="15" customHeight="1" x14ac:dyDescent="0.2">
      <c r="A37" s="2" t="s">
        <v>147</v>
      </c>
      <c r="B37" s="3" t="s">
        <v>150</v>
      </c>
      <c r="C37" s="7">
        <v>1500</v>
      </c>
      <c r="D37" s="7">
        <v>2000</v>
      </c>
      <c r="E37" s="7">
        <v>3000</v>
      </c>
    </row>
    <row r="38" spans="1:5" ht="15" customHeight="1" x14ac:dyDescent="0.2">
      <c r="A38" s="2" t="s">
        <v>147</v>
      </c>
      <c r="B38" s="3" t="s">
        <v>151</v>
      </c>
      <c r="C38" s="7">
        <v>0</v>
      </c>
      <c r="D38" s="7">
        <v>2000</v>
      </c>
      <c r="E38" s="7">
        <v>3500</v>
      </c>
    </row>
    <row r="39" spans="1:5" ht="27.75" customHeight="1" x14ac:dyDescent="0.2">
      <c r="A39" s="2" t="s">
        <v>147</v>
      </c>
      <c r="B39" s="3" t="s">
        <v>152</v>
      </c>
      <c r="C39" s="7">
        <v>300</v>
      </c>
      <c r="D39" s="7">
        <v>400</v>
      </c>
      <c r="E39" s="7">
        <v>500</v>
      </c>
    </row>
    <row r="40" spans="1:5" ht="15" customHeight="1" x14ac:dyDescent="0.2">
      <c r="A40" s="32" t="s">
        <v>153</v>
      </c>
      <c r="B40" s="31"/>
      <c r="C40" s="31"/>
      <c r="D40" s="31"/>
      <c r="E40" s="31"/>
    </row>
    <row r="41" spans="1:5" ht="27.75" customHeight="1" x14ac:dyDescent="0.2">
      <c r="A41" s="2" t="s">
        <v>153</v>
      </c>
      <c r="B41" s="3" t="s">
        <v>154</v>
      </c>
      <c r="C41" s="6">
        <v>0.15</v>
      </c>
      <c r="D41" s="6">
        <v>0.15</v>
      </c>
      <c r="E41" s="6">
        <v>0.15</v>
      </c>
    </row>
    <row r="42" spans="1:5" ht="27.75" customHeight="1" x14ac:dyDescent="0.2">
      <c r="A42" s="2" t="s">
        <v>153</v>
      </c>
      <c r="B42" s="3" t="s">
        <v>155</v>
      </c>
      <c r="C42" s="6">
        <v>0.3</v>
      </c>
      <c r="D42" s="6">
        <v>0.3</v>
      </c>
      <c r="E42" s="6">
        <v>0.3</v>
      </c>
    </row>
    <row r="43" spans="1:5" ht="15" customHeight="1" x14ac:dyDescent="0.2">
      <c r="A43" s="2" t="s">
        <v>153</v>
      </c>
      <c r="B43" s="3" t="s">
        <v>156</v>
      </c>
      <c r="C43" s="7">
        <v>865000</v>
      </c>
      <c r="D43" s="7">
        <v>865000</v>
      </c>
      <c r="E43" s="7">
        <v>865000</v>
      </c>
    </row>
    <row r="44" spans="1:5" ht="15" customHeight="1" x14ac:dyDescent="0.2">
      <c r="A44" s="2" t="s">
        <v>153</v>
      </c>
      <c r="B44" s="3" t="s">
        <v>157</v>
      </c>
      <c r="C44" s="6">
        <v>1.4E-2</v>
      </c>
      <c r="D44" s="6">
        <v>1.4E-2</v>
      </c>
      <c r="E44" s="6">
        <v>1.4E-2</v>
      </c>
    </row>
    <row r="45" spans="1:5" ht="15" customHeight="1" x14ac:dyDescent="0.2">
      <c r="A45" s="32" t="s">
        <v>158</v>
      </c>
      <c r="B45" s="31"/>
      <c r="C45" s="31"/>
      <c r="D45" s="31"/>
      <c r="E45" s="31"/>
    </row>
    <row r="46" spans="1:5" ht="15" customHeight="1" x14ac:dyDescent="0.2">
      <c r="A46" s="2" t="s">
        <v>158</v>
      </c>
      <c r="B46" s="3" t="s">
        <v>159</v>
      </c>
      <c r="C46" s="7">
        <v>400</v>
      </c>
      <c r="D46" s="7">
        <v>400</v>
      </c>
      <c r="E46" s="7">
        <v>400</v>
      </c>
    </row>
    <row r="47" spans="1:5" ht="15" customHeight="1" x14ac:dyDescent="0.2">
      <c r="A47" s="2" t="s">
        <v>158</v>
      </c>
      <c r="B47" s="3" t="s">
        <v>160</v>
      </c>
      <c r="C47" s="7">
        <v>50</v>
      </c>
      <c r="D47" s="7">
        <v>50</v>
      </c>
      <c r="E47" s="7">
        <v>50</v>
      </c>
    </row>
    <row r="48" spans="1:5" ht="15" customHeight="1" x14ac:dyDescent="0.2">
      <c r="A48" s="2" t="s">
        <v>158</v>
      </c>
      <c r="B48" s="3" t="s">
        <v>161</v>
      </c>
      <c r="C48" s="7">
        <v>3500</v>
      </c>
      <c r="D48" s="7">
        <v>3500</v>
      </c>
      <c r="E48" s="7">
        <v>3500</v>
      </c>
    </row>
    <row r="49" spans="1:5" ht="15" customHeight="1" x14ac:dyDescent="0.2">
      <c r="A49" s="32" t="s">
        <v>162</v>
      </c>
      <c r="B49" s="31"/>
      <c r="C49" s="31"/>
      <c r="D49" s="31"/>
      <c r="E49" s="31"/>
    </row>
    <row r="50" spans="1:5" ht="27.75" customHeight="1" x14ac:dyDescent="0.2">
      <c r="A50" s="2" t="s">
        <v>162</v>
      </c>
      <c r="B50" s="3" t="s">
        <v>163</v>
      </c>
      <c r="C50" s="7">
        <v>8000</v>
      </c>
      <c r="D50" s="7">
        <v>8000</v>
      </c>
      <c r="E50" s="7">
        <v>8000</v>
      </c>
    </row>
    <row r="51" spans="1:5" ht="15" customHeight="1" x14ac:dyDescent="0.2">
      <c r="A51" s="2" t="s">
        <v>162</v>
      </c>
      <c r="B51" s="3" t="s">
        <v>164</v>
      </c>
      <c r="C51" s="7">
        <v>5000</v>
      </c>
      <c r="D51" s="7">
        <v>5000</v>
      </c>
      <c r="E51" s="7">
        <v>5000</v>
      </c>
    </row>
    <row r="52" spans="1:5" ht="15" customHeight="1" x14ac:dyDescent="0.2">
      <c r="A52" s="2" t="s">
        <v>162</v>
      </c>
      <c r="B52" s="3" t="s">
        <v>165</v>
      </c>
      <c r="C52" s="7">
        <v>3000</v>
      </c>
      <c r="D52" s="7">
        <v>3000</v>
      </c>
      <c r="E52" s="7">
        <v>3000</v>
      </c>
    </row>
    <row r="53" spans="1:5" ht="15" customHeight="1" x14ac:dyDescent="0.2">
      <c r="A53" s="32" t="s">
        <v>166</v>
      </c>
      <c r="B53" s="31"/>
      <c r="C53" s="31"/>
      <c r="D53" s="31"/>
      <c r="E53" s="31"/>
    </row>
    <row r="54" spans="1:5" ht="15" customHeight="1" x14ac:dyDescent="0.2">
      <c r="A54" s="2" t="s">
        <v>166</v>
      </c>
      <c r="B54" s="3" t="s">
        <v>167</v>
      </c>
      <c r="C54" s="7">
        <v>900</v>
      </c>
      <c r="D54" s="7">
        <v>900</v>
      </c>
      <c r="E54" s="7">
        <v>900</v>
      </c>
    </row>
    <row r="55" spans="1:5" ht="15" customHeight="1" x14ac:dyDescent="0.2">
      <c r="A55" s="2" t="s">
        <v>166</v>
      </c>
      <c r="B55" s="3" t="s">
        <v>168</v>
      </c>
      <c r="C55" s="7">
        <v>9000</v>
      </c>
      <c r="D55" s="7">
        <v>9000</v>
      </c>
      <c r="E55" s="7">
        <v>9000</v>
      </c>
    </row>
    <row r="56" spans="1:5" ht="15" customHeight="1" x14ac:dyDescent="0.2">
      <c r="A56" s="2" t="s">
        <v>166</v>
      </c>
      <c r="B56" s="3" t="s">
        <v>169</v>
      </c>
      <c r="C56" s="7">
        <v>5000</v>
      </c>
      <c r="D56" s="7">
        <v>6000</v>
      </c>
      <c r="E56" s="7">
        <v>7000</v>
      </c>
    </row>
    <row r="57" spans="1:5" ht="15" customHeight="1" x14ac:dyDescent="0.2">
      <c r="A57" s="2" t="s">
        <v>166</v>
      </c>
      <c r="B57" s="3" t="s">
        <v>170</v>
      </c>
      <c r="C57" s="7">
        <v>9000</v>
      </c>
      <c r="D57" s="7">
        <v>11000</v>
      </c>
      <c r="E57" s="7">
        <v>13000</v>
      </c>
    </row>
    <row r="58" spans="1:5" ht="15" customHeight="1" x14ac:dyDescent="0.2">
      <c r="A58" s="2" t="s">
        <v>166</v>
      </c>
      <c r="B58" s="3" t="s">
        <v>171</v>
      </c>
      <c r="C58" s="7">
        <v>30000</v>
      </c>
      <c r="D58" s="7">
        <v>38000</v>
      </c>
      <c r="E58" s="7">
        <v>46000</v>
      </c>
    </row>
    <row r="59" spans="1:5" ht="15" customHeight="1" x14ac:dyDescent="0.2">
      <c r="A59" s="2" t="s">
        <v>166</v>
      </c>
      <c r="B59" s="3" t="s">
        <v>172</v>
      </c>
      <c r="C59" s="7">
        <v>48000</v>
      </c>
      <c r="D59" s="7">
        <v>85000</v>
      </c>
      <c r="E59" s="7">
        <v>105000</v>
      </c>
    </row>
    <row r="60" spans="1:5" ht="27.75" customHeight="1" x14ac:dyDescent="0.2">
      <c r="A60" s="2" t="s">
        <v>166</v>
      </c>
      <c r="B60" s="3" t="s">
        <v>173</v>
      </c>
      <c r="C60" s="7">
        <v>1200</v>
      </c>
      <c r="D60" s="7">
        <v>1500</v>
      </c>
      <c r="E60" s="7">
        <v>2000</v>
      </c>
    </row>
    <row r="61" spans="1:5" ht="15" customHeight="1" x14ac:dyDescent="0.2">
      <c r="A61" s="2" t="s">
        <v>166</v>
      </c>
      <c r="B61" s="3" t="s">
        <v>174</v>
      </c>
      <c r="C61" s="7">
        <v>2000</v>
      </c>
      <c r="D61" s="7">
        <v>2500</v>
      </c>
      <c r="E61" s="7">
        <v>3000</v>
      </c>
    </row>
    <row r="62" spans="1:5" ht="15" customHeight="1" x14ac:dyDescent="0.2">
      <c r="A62" s="2" t="s">
        <v>166</v>
      </c>
      <c r="B62" s="3" t="s">
        <v>175</v>
      </c>
      <c r="C62" s="7">
        <v>3000</v>
      </c>
      <c r="D62" s="7">
        <v>3500</v>
      </c>
      <c r="E62" s="7">
        <v>4000</v>
      </c>
    </row>
    <row r="63" spans="1:5" ht="15" customHeight="1" x14ac:dyDescent="0.2">
      <c r="A63" s="2" t="s">
        <v>166</v>
      </c>
      <c r="B63" s="3" t="s">
        <v>176</v>
      </c>
      <c r="C63" s="7">
        <v>900</v>
      </c>
      <c r="D63" s="7">
        <v>900</v>
      </c>
      <c r="E63" s="7">
        <v>900</v>
      </c>
    </row>
    <row r="64" spans="1:5" ht="15" customHeight="1" x14ac:dyDescent="0.2">
      <c r="A64" s="2" t="s">
        <v>166</v>
      </c>
      <c r="B64" s="3" t="s">
        <v>177</v>
      </c>
      <c r="C64" s="7">
        <v>1500</v>
      </c>
      <c r="D64" s="7">
        <v>1500</v>
      </c>
      <c r="E64" s="7">
        <v>1500</v>
      </c>
    </row>
    <row r="65" spans="1:5" ht="15" customHeight="1" x14ac:dyDescent="0.2">
      <c r="A65" s="2" t="s">
        <v>166</v>
      </c>
      <c r="B65" s="3" t="s">
        <v>178</v>
      </c>
      <c r="C65" s="7">
        <v>2200</v>
      </c>
      <c r="D65" s="7">
        <v>2200</v>
      </c>
      <c r="E65" s="7">
        <v>2200</v>
      </c>
    </row>
    <row r="66" spans="1:5" ht="15" customHeight="1" x14ac:dyDescent="0.2">
      <c r="A66" s="2" t="s">
        <v>166</v>
      </c>
      <c r="B66" s="3" t="s">
        <v>179</v>
      </c>
      <c r="C66" s="7">
        <v>800</v>
      </c>
      <c r="D66" s="7">
        <v>800</v>
      </c>
      <c r="E66" s="7">
        <v>800</v>
      </c>
    </row>
    <row r="67" spans="1:5" ht="15" customHeight="1" x14ac:dyDescent="0.2">
      <c r="A67" s="2" t="s">
        <v>166</v>
      </c>
      <c r="B67" s="3" t="s">
        <v>180</v>
      </c>
      <c r="C67" s="7">
        <v>350</v>
      </c>
      <c r="D67" s="7">
        <v>350</v>
      </c>
      <c r="E67" s="7">
        <v>350</v>
      </c>
    </row>
    <row r="68" spans="1:5" ht="15" customHeight="1" x14ac:dyDescent="0.2">
      <c r="A68" s="32" t="s">
        <v>181</v>
      </c>
      <c r="B68" s="31"/>
      <c r="C68" s="31"/>
      <c r="D68" s="31"/>
      <c r="E68" s="31"/>
    </row>
    <row r="69" spans="1:5" ht="15" customHeight="1" x14ac:dyDescent="0.2">
      <c r="A69" s="2" t="s">
        <v>181</v>
      </c>
      <c r="B69" s="3" t="s">
        <v>182</v>
      </c>
      <c r="C69" s="7">
        <v>600</v>
      </c>
      <c r="D69" s="7">
        <v>600</v>
      </c>
      <c r="E69" s="7">
        <v>700</v>
      </c>
    </row>
    <row r="70" spans="1:5" ht="15" customHeight="1" x14ac:dyDescent="0.2">
      <c r="A70" s="2" t="s">
        <v>181</v>
      </c>
      <c r="B70" s="3" t="s">
        <v>183</v>
      </c>
      <c r="C70" s="7">
        <v>150</v>
      </c>
      <c r="D70" s="7">
        <v>150</v>
      </c>
      <c r="E70" s="7">
        <v>150</v>
      </c>
    </row>
    <row r="71" spans="1:5" ht="15" customHeight="1" x14ac:dyDescent="0.2">
      <c r="A71" s="2" t="s">
        <v>181</v>
      </c>
      <c r="B71" s="3" t="s">
        <v>184</v>
      </c>
      <c r="C71" s="7">
        <v>18000</v>
      </c>
      <c r="D71" s="7">
        <v>18000</v>
      </c>
      <c r="E71" s="7">
        <v>18000</v>
      </c>
    </row>
    <row r="72" spans="1:5" ht="15" customHeight="1" x14ac:dyDescent="0.2">
      <c r="A72" s="32" t="s">
        <v>185</v>
      </c>
      <c r="B72" s="31"/>
      <c r="C72" s="31"/>
      <c r="D72" s="31"/>
      <c r="E72" s="31"/>
    </row>
    <row r="73" spans="1:5" ht="15" customHeight="1" x14ac:dyDescent="0.2">
      <c r="A73" s="2" t="s">
        <v>185</v>
      </c>
      <c r="B73" s="3" t="s">
        <v>186</v>
      </c>
      <c r="C73" s="7">
        <v>350000</v>
      </c>
      <c r="D73" s="7">
        <v>350000</v>
      </c>
      <c r="E73" s="7">
        <v>350000</v>
      </c>
    </row>
    <row r="74" spans="1:5" ht="15" customHeight="1" x14ac:dyDescent="0.2">
      <c r="A74" s="2" t="s">
        <v>185</v>
      </c>
      <c r="B74" s="3" t="s">
        <v>187</v>
      </c>
      <c r="C74" s="5">
        <v>13</v>
      </c>
      <c r="D74" s="5">
        <v>13</v>
      </c>
      <c r="E74" s="5">
        <v>13</v>
      </c>
    </row>
    <row r="75" spans="1:5" ht="15" customHeight="1" x14ac:dyDescent="0.2">
      <c r="A75" s="2" t="s">
        <v>185</v>
      </c>
      <c r="B75" s="3" t="s">
        <v>188</v>
      </c>
      <c r="C75" s="7">
        <v>1500000</v>
      </c>
      <c r="D75" s="7">
        <v>3000000</v>
      </c>
      <c r="E75" s="7">
        <v>5000000</v>
      </c>
    </row>
    <row r="76" spans="1:5" x14ac:dyDescent="0.2">
      <c r="A76" t="s">
        <v>166</v>
      </c>
      <c r="B76" t="s">
        <v>189</v>
      </c>
      <c r="C76">
        <v>12000</v>
      </c>
      <c r="D76">
        <v>12000</v>
      </c>
      <c r="E76">
        <v>12000</v>
      </c>
    </row>
  </sheetData>
  <mergeCells count="13">
    <mergeCell ref="A1:E1"/>
    <mergeCell ref="A45:E45"/>
    <mergeCell ref="A8:E8"/>
    <mergeCell ref="A40:E40"/>
    <mergeCell ref="A3:E3"/>
    <mergeCell ref="A53:E53"/>
    <mergeCell ref="A34:E34"/>
    <mergeCell ref="A17:E17"/>
    <mergeCell ref="A24:E24"/>
    <mergeCell ref="A72:E72"/>
    <mergeCell ref="A28:E28"/>
    <mergeCell ref="A68:E68"/>
    <mergeCell ref="A49:E4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7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15" sqref="A15"/>
      <selection pane="bottomRight" activeCell="AK25" sqref="AK25"/>
    </sheetView>
  </sheetViews>
  <sheetFormatPr baseColWidth="10" defaultColWidth="8.6640625" defaultRowHeight="15" x14ac:dyDescent="0.2"/>
  <cols>
    <col min="1" max="1" width="55" customWidth="1"/>
    <col min="2" max="37" width="9" customWidth="1"/>
    <col min="38" max="40" width="12" customWidth="1"/>
    <col min="41" max="41" width="55" customWidth="1"/>
  </cols>
  <sheetData>
    <row r="1" spans="1:41" ht="15" customHeight="1" x14ac:dyDescent="0.2">
      <c r="A1" s="30" t="s">
        <v>190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</row>
    <row r="2" spans="1:41" ht="1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</row>
    <row r="3" spans="1:41" ht="15" customHeight="1" x14ac:dyDescent="0.2">
      <c r="A3" s="9" t="s">
        <v>42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2</v>
      </c>
      <c r="O3" s="10">
        <v>2</v>
      </c>
      <c r="P3" s="10">
        <v>2</v>
      </c>
      <c r="Q3" s="10">
        <v>2</v>
      </c>
      <c r="R3" s="10">
        <v>2</v>
      </c>
      <c r="S3" s="10">
        <v>2</v>
      </c>
      <c r="T3" s="10">
        <v>2</v>
      </c>
      <c r="U3" s="10">
        <v>2</v>
      </c>
      <c r="V3" s="10">
        <v>2</v>
      </c>
      <c r="W3" s="10">
        <v>2</v>
      </c>
      <c r="X3" s="10">
        <v>2</v>
      </c>
      <c r="Y3" s="10">
        <v>2</v>
      </c>
      <c r="Z3" s="10">
        <v>3</v>
      </c>
      <c r="AA3" s="10">
        <v>3</v>
      </c>
      <c r="AB3" s="10">
        <v>3</v>
      </c>
      <c r="AC3" s="10">
        <v>3</v>
      </c>
      <c r="AD3" s="10">
        <v>3</v>
      </c>
      <c r="AE3" s="10">
        <v>3</v>
      </c>
      <c r="AF3" s="10">
        <v>3</v>
      </c>
      <c r="AG3" s="10">
        <v>3</v>
      </c>
      <c r="AH3" s="10">
        <v>3</v>
      </c>
      <c r="AI3" s="10">
        <v>3</v>
      </c>
      <c r="AJ3" s="10">
        <v>3</v>
      </c>
      <c r="AK3" s="10">
        <v>3</v>
      </c>
    </row>
    <row r="4" spans="1:41" ht="15" customHeight="1" x14ac:dyDescent="0.2">
      <c r="A4" s="30" t="s">
        <v>43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</row>
    <row r="5" spans="1:41" ht="15" customHeight="1" x14ac:dyDescent="0.2">
      <c r="A5" s="3" t="s">
        <v>44</v>
      </c>
      <c r="B5" s="11">
        <f>Assumptions!C9</f>
        <v>320</v>
      </c>
      <c r="C5" s="11">
        <f>B5*(1+Assumptions!C10)</f>
        <v>377.59999999999997</v>
      </c>
      <c r="D5" s="11">
        <f>C5*(1+Assumptions!C10)</f>
        <v>445.56799999999993</v>
      </c>
      <c r="E5" s="11">
        <f>D5*(1+Assumptions!C10)</f>
        <v>525.77023999999983</v>
      </c>
      <c r="F5" s="11">
        <f>E5*(1+Assumptions!C10)</f>
        <v>620.40888319999976</v>
      </c>
      <c r="G5" s="11">
        <f>F5*(1+Assumptions!C10)</f>
        <v>732.08248217599964</v>
      </c>
      <c r="H5" s="11">
        <f>G5*(1+Assumptions!C10)</f>
        <v>863.85732896767956</v>
      </c>
      <c r="I5" s="11">
        <f>H5*(1+Assumptions!C10)</f>
        <v>1019.3516481818618</v>
      </c>
      <c r="J5" s="11">
        <f>I5*(1+Assumptions!C10)</f>
        <v>1202.8349448545969</v>
      </c>
      <c r="K5" s="11">
        <f>J5*(1+Assumptions!C10)</f>
        <v>1419.3452349284241</v>
      </c>
      <c r="L5" s="11">
        <f>K5*(1+Assumptions!C10)</f>
        <v>1674.8273772155403</v>
      </c>
      <c r="M5" s="11">
        <f>L5*(1+Assumptions!C10)</f>
        <v>1976.2963051143374</v>
      </c>
      <c r="N5" s="11">
        <f>M5*(1+Assumptions!C10)</f>
        <v>2332.029640034918</v>
      </c>
      <c r="O5" s="11">
        <f>N5*(1+Assumptions!C10)</f>
        <v>2751.7949752412032</v>
      </c>
      <c r="P5" s="11">
        <f>O5*(1+Assumptions!C10)</f>
        <v>3247.1180707846197</v>
      </c>
      <c r="Q5" s="11">
        <f>P5*(1+Assumptions!C10)</f>
        <v>3831.5993235258511</v>
      </c>
      <c r="R5" s="11">
        <f>Q5*(1+Assumptions!C10)</f>
        <v>4521.2872017605041</v>
      </c>
      <c r="S5" s="11">
        <f>R5*(1+Assumptions!C10)</f>
        <v>5335.118898077395</v>
      </c>
      <c r="T5" s="11">
        <f>S5*(1+Assumptions!C10)</f>
        <v>6295.4402997313255</v>
      </c>
      <c r="U5" s="11">
        <f>T5*(1+Assumptions!C10)</f>
        <v>7428.6195536829637</v>
      </c>
      <c r="V5" s="11">
        <f>U5*(1+Assumptions!C10)</f>
        <v>8765.7710733458971</v>
      </c>
      <c r="W5" s="11">
        <f>V5*(1+Assumptions!C10)</f>
        <v>10343.609866548159</v>
      </c>
      <c r="X5" s="11">
        <f>W5*(1+Assumptions!C10)</f>
        <v>12205.459642526826</v>
      </c>
      <c r="Y5" s="11">
        <f>X5*(1+Assumptions!C10)</f>
        <v>14402.442378181655</v>
      </c>
      <c r="Z5" s="11">
        <f>Y5*(1+Assumptions!C10)</f>
        <v>16994.882006254353</v>
      </c>
      <c r="AA5" s="11">
        <f>Z5*(1+Assumptions!C10)</f>
        <v>20053.960767380137</v>
      </c>
      <c r="AB5" s="11">
        <f>AA5*(1+Assumptions!C10)</f>
        <v>23663.673705508561</v>
      </c>
      <c r="AC5" s="11">
        <f>AB5*(1+Assumptions!C10)</f>
        <v>27923.134972500102</v>
      </c>
      <c r="AD5" s="11">
        <f>AC5*(1+Assumptions!C10)</f>
        <v>32949.299267550115</v>
      </c>
      <c r="AE5" s="11">
        <f>AD5*(1+Assumptions!C10)</f>
        <v>38880.173135709134</v>
      </c>
      <c r="AF5" s="11">
        <f>AE5*(1+Assumptions!C10)</f>
        <v>45878.604300136773</v>
      </c>
      <c r="AG5" s="11">
        <f>AF5*(1+Assumptions!C10)</f>
        <v>54136.753074161388</v>
      </c>
      <c r="AH5" s="11">
        <f>AG5*(1+Assumptions!C10)</f>
        <v>63881.368627510434</v>
      </c>
      <c r="AI5" s="11">
        <f>AH5*(1+Assumptions!C10)</f>
        <v>75380.014980462307</v>
      </c>
      <c r="AJ5" s="11">
        <f>AI5*(1+Assumptions!C10)</f>
        <v>88948.417676945523</v>
      </c>
      <c r="AK5" s="11">
        <f>AJ5*(1+Assumptions!C10)</f>
        <v>104959.13285879571</v>
      </c>
      <c r="AL5" s="11">
        <f>SUM(B5:M5)</f>
        <v>11177.94244463844</v>
      </c>
      <c r="AM5" s="11">
        <f>SUM(N5:Y5)</f>
        <v>81460.290923441324</v>
      </c>
      <c r="AN5" s="11">
        <f>SUM(Z5:AK5)</f>
        <v>593649.41537291452</v>
      </c>
      <c r="AO5" t="s">
        <v>45</v>
      </c>
    </row>
    <row r="6" spans="1:41" ht="27.75" customHeight="1" x14ac:dyDescent="0.2">
      <c r="A6" s="3" t="s">
        <v>46</v>
      </c>
      <c r="B6" s="11">
        <f>B5*Assumptions!C11</f>
        <v>38.4</v>
      </c>
      <c r="C6" s="11">
        <f>C5*Assumptions!C11</f>
        <v>45.311999999999998</v>
      </c>
      <c r="D6" s="11">
        <f>D5*Assumptions!C11</f>
        <v>53.46815999999999</v>
      </c>
      <c r="E6" s="11">
        <f>E5*Assumptions!C11</f>
        <v>63.092428799999979</v>
      </c>
      <c r="F6" s="11">
        <f>F5*Assumptions!C11</f>
        <v>74.449065983999972</v>
      </c>
      <c r="G6" s="11">
        <f>G5*Assumptions!C11</f>
        <v>87.849897861119956</v>
      </c>
      <c r="H6" s="11">
        <f>H5*Assumptions!C11</f>
        <v>103.66287947612155</v>
      </c>
      <c r="I6" s="11">
        <f>I5*Assumptions!C11</f>
        <v>122.32219778182342</v>
      </c>
      <c r="J6" s="11">
        <f>J5*Assumptions!C11</f>
        <v>144.34019338255163</v>
      </c>
      <c r="K6" s="11">
        <f>K5*Assumptions!C11</f>
        <v>170.32142819141089</v>
      </c>
      <c r="L6" s="11">
        <f>L5*Assumptions!C11</f>
        <v>200.97928526586483</v>
      </c>
      <c r="M6" s="11">
        <f>M5*Assumptions!C11</f>
        <v>237.15555661372048</v>
      </c>
      <c r="N6" s="11">
        <f>N5*Assumptions!C11</f>
        <v>279.84355680419014</v>
      </c>
      <c r="O6" s="11">
        <f>O5*Assumptions!C11</f>
        <v>330.21539702894438</v>
      </c>
      <c r="P6" s="11">
        <f>P5*Assumptions!C11</f>
        <v>389.65416849415436</v>
      </c>
      <c r="Q6" s="11">
        <f>Q5*Assumptions!C11</f>
        <v>459.79191882310209</v>
      </c>
      <c r="R6" s="11">
        <f>R5*Assumptions!C11</f>
        <v>542.55446421126044</v>
      </c>
      <c r="S6" s="11">
        <f>S5*Assumptions!C11</f>
        <v>640.2142677692874</v>
      </c>
      <c r="T6" s="11">
        <f>T5*Assumptions!C11</f>
        <v>755.45283596775903</v>
      </c>
      <c r="U6" s="11">
        <f>U5*Assumptions!C11</f>
        <v>891.43434644195565</v>
      </c>
      <c r="V6" s="11">
        <f>V5*Assumptions!C11</f>
        <v>1051.8925288015075</v>
      </c>
      <c r="W6" s="11">
        <f>W5*Assumptions!C11</f>
        <v>1241.2331839857791</v>
      </c>
      <c r="X6" s="11">
        <f>X5*Assumptions!C11</f>
        <v>1464.6551571032192</v>
      </c>
      <c r="Y6" s="11">
        <f>Y5*Assumptions!C11</f>
        <v>1728.2930853817986</v>
      </c>
      <c r="Z6" s="11">
        <f>Z5*Assumptions!C11</f>
        <v>2039.3858407505222</v>
      </c>
      <c r="AA6" s="11">
        <f>AA5*Assumptions!C11</f>
        <v>2406.4752920856163</v>
      </c>
      <c r="AB6" s="11">
        <f>AB5*Assumptions!C11</f>
        <v>2839.6408446610271</v>
      </c>
      <c r="AC6" s="11">
        <f>AC5*Assumptions!C11</f>
        <v>3350.776196700012</v>
      </c>
      <c r="AD6" s="11">
        <f>AD5*Assumptions!C11</f>
        <v>3953.9159121060138</v>
      </c>
      <c r="AE6" s="11">
        <f>AE5*Assumptions!C11</f>
        <v>4665.6207762850963</v>
      </c>
      <c r="AF6" s="11">
        <f>AF5*Assumptions!C11</f>
        <v>5505.4325160164126</v>
      </c>
      <c r="AG6" s="11">
        <f>AG5*Assumptions!C11</f>
        <v>6496.4103688993664</v>
      </c>
      <c r="AH6" s="11">
        <f>AH5*Assumptions!C11</f>
        <v>7665.7642353012516</v>
      </c>
      <c r="AI6" s="11">
        <f>AI5*Assumptions!C11</f>
        <v>9045.6017976554758</v>
      </c>
      <c r="AJ6" s="11">
        <f>AJ5*Assumptions!C11</f>
        <v>10673.810121233462</v>
      </c>
      <c r="AK6" s="11">
        <f>AK5*Assumptions!C11</f>
        <v>12595.095943055485</v>
      </c>
      <c r="AL6" s="11">
        <f>SUM(B6:M6)</f>
        <v>1341.3530933566126</v>
      </c>
      <c r="AM6" s="11">
        <f>SUM(N6:Y6)</f>
        <v>9775.2349108129565</v>
      </c>
      <c r="AN6" s="11">
        <f>SUM(Z6:AK6)</f>
        <v>71237.929844749728</v>
      </c>
      <c r="AO6" t="s">
        <v>47</v>
      </c>
    </row>
    <row r="7" spans="1:41" ht="15" customHeight="1" x14ac:dyDescent="0.2">
      <c r="A7" s="3" t="s">
        <v>48</v>
      </c>
      <c r="B7" s="11">
        <f>0</f>
        <v>0</v>
      </c>
      <c r="C7" s="11">
        <f>0</f>
        <v>0</v>
      </c>
      <c r="D7" s="11">
        <f>0</f>
        <v>0</v>
      </c>
      <c r="E7" s="11">
        <f>Assumptions!C12/Assumptions!C15</f>
        <v>450</v>
      </c>
      <c r="F7" s="11">
        <f>Assumptions!C12/Assumptions!C15</f>
        <v>450</v>
      </c>
      <c r="G7" s="11">
        <f>Assumptions!C12/Assumptions!C15</f>
        <v>450</v>
      </c>
      <c r="H7" s="11">
        <f>Assumptions!C12/Assumptions!C15</f>
        <v>450</v>
      </c>
      <c r="I7" s="11">
        <f>Assumptions!C12/Assumptions!C15</f>
        <v>450</v>
      </c>
      <c r="J7" s="11">
        <f>Assumptions!C12/Assumptions!C15</f>
        <v>450</v>
      </c>
      <c r="K7" s="11">
        <f>Assumptions!C12/Assumptions!C15</f>
        <v>450</v>
      </c>
      <c r="L7" s="11">
        <f>Assumptions!C12/Assumptions!C15</f>
        <v>450</v>
      </c>
      <c r="M7" s="11">
        <f>Assumptions!C12/Assumptions!C15</f>
        <v>450</v>
      </c>
      <c r="N7" s="11">
        <f>Assumptions!C13/Assumptions!C16</f>
        <v>750</v>
      </c>
      <c r="O7" s="11">
        <f>Assumptions!C13/Assumptions!C16</f>
        <v>750</v>
      </c>
      <c r="P7" s="11">
        <f>Assumptions!C13/Assumptions!C16</f>
        <v>750</v>
      </c>
      <c r="Q7" s="11">
        <f>Assumptions!C13/Assumptions!C16</f>
        <v>750</v>
      </c>
      <c r="R7" s="11">
        <f>Assumptions!C13/Assumptions!C16</f>
        <v>750</v>
      </c>
      <c r="S7" s="11">
        <f>Assumptions!C13/Assumptions!C16</f>
        <v>750</v>
      </c>
      <c r="T7" s="11">
        <f>Assumptions!C13/Assumptions!C16</f>
        <v>750</v>
      </c>
      <c r="U7" s="11">
        <f>Assumptions!C13/Assumptions!C16</f>
        <v>750</v>
      </c>
      <c r="V7" s="11">
        <f>Assumptions!C13/Assumptions!C16</f>
        <v>750</v>
      </c>
      <c r="W7" s="11">
        <f>Assumptions!C13/Assumptions!C16</f>
        <v>750</v>
      </c>
      <c r="X7" s="11">
        <f>Assumptions!C13/Assumptions!C16</f>
        <v>750</v>
      </c>
      <c r="Y7" s="11">
        <f>Assumptions!C13/Assumptions!C16</f>
        <v>750</v>
      </c>
      <c r="Z7" s="11">
        <f>Assumptions!C14/Assumptions!C16</f>
        <v>750</v>
      </c>
      <c r="AA7" s="11">
        <f>Assumptions!C14/Assumptions!C16</f>
        <v>750</v>
      </c>
      <c r="AB7" s="11">
        <f>Assumptions!C14/Assumptions!C16</f>
        <v>750</v>
      </c>
      <c r="AC7" s="11">
        <f>Assumptions!C14/Assumptions!C16</f>
        <v>750</v>
      </c>
      <c r="AD7" s="11">
        <f>Assumptions!C14/Assumptions!C16</f>
        <v>750</v>
      </c>
      <c r="AE7" s="11">
        <f>Assumptions!C14/Assumptions!C16</f>
        <v>750</v>
      </c>
      <c r="AF7" s="11">
        <f>Assumptions!C14/Assumptions!C16</f>
        <v>750</v>
      </c>
      <c r="AG7" s="11">
        <f>Assumptions!C14/Assumptions!C16</f>
        <v>750</v>
      </c>
      <c r="AH7" s="11">
        <f>Assumptions!C14/Assumptions!C16</f>
        <v>750</v>
      </c>
      <c r="AI7" s="11">
        <f>Assumptions!C14/Assumptions!C16</f>
        <v>750</v>
      </c>
      <c r="AJ7" s="11">
        <f>Assumptions!C14/Assumptions!C16</f>
        <v>750</v>
      </c>
      <c r="AK7" s="11">
        <f>Assumptions!C14/Assumptions!C16</f>
        <v>750</v>
      </c>
      <c r="AL7" s="11">
        <f>SUM(B7:M7)</f>
        <v>4050</v>
      </c>
      <c r="AM7" s="11">
        <f>SUM(N7:Y7)</f>
        <v>9000</v>
      </c>
      <c r="AN7" s="11">
        <f>SUM(Z7:AK7)</f>
        <v>9000</v>
      </c>
      <c r="AO7" t="s">
        <v>49</v>
      </c>
    </row>
    <row r="8" spans="1:41" ht="15" customHeight="1" x14ac:dyDescent="0.2">
      <c r="A8" s="3" t="s">
        <v>50</v>
      </c>
      <c r="B8" s="12">
        <f>0</f>
        <v>0</v>
      </c>
      <c r="C8" s="12">
        <f>0</f>
        <v>0</v>
      </c>
      <c r="D8" s="12">
        <f>0</f>
        <v>0</v>
      </c>
      <c r="E8" s="12">
        <f>MIN(Assumptions!C22,1*Assumptions!C21)</f>
        <v>1.4999999999999999E-2</v>
      </c>
      <c r="F8" s="12">
        <f>MIN(Assumptions!C22,2*Assumptions!C21)</f>
        <v>0.03</v>
      </c>
      <c r="G8" s="12">
        <f>MIN(Assumptions!C22,3*Assumptions!C21)</f>
        <v>4.4999999999999998E-2</v>
      </c>
      <c r="H8" s="12">
        <f>MIN(Assumptions!C22,4*Assumptions!C21)</f>
        <v>0.06</v>
      </c>
      <c r="I8" s="12">
        <f>MIN(Assumptions!C22,5*Assumptions!C21)</f>
        <v>7.4999999999999997E-2</v>
      </c>
      <c r="J8" s="12">
        <f>MIN(Assumptions!C22,6*Assumptions!C21)</f>
        <v>0.09</v>
      </c>
      <c r="K8" s="12">
        <f>MIN(Assumptions!C22,7*Assumptions!C21)</f>
        <v>0.105</v>
      </c>
      <c r="L8" s="12">
        <f>MIN(Assumptions!C22,8*Assumptions!C21)</f>
        <v>0.12</v>
      </c>
      <c r="M8" s="12">
        <f>MIN(Assumptions!C22,9*Assumptions!C21)</f>
        <v>0.13500000000000001</v>
      </c>
      <c r="N8" s="12">
        <f>MIN(Assumptions!C22,10*Assumptions!C21)</f>
        <v>0.15</v>
      </c>
      <c r="O8" s="12">
        <f>MIN(Assumptions!C22,11*Assumptions!C21)</f>
        <v>0.16499999999999998</v>
      </c>
      <c r="P8" s="12">
        <f>MIN(Assumptions!C22,12*Assumptions!C21)</f>
        <v>0.18</v>
      </c>
      <c r="Q8" s="12">
        <f>MIN(Assumptions!C22,13*Assumptions!C21)</f>
        <v>0.19500000000000001</v>
      </c>
      <c r="R8" s="12">
        <f>MIN(Assumptions!C22,14*Assumptions!C21)</f>
        <v>0.21</v>
      </c>
      <c r="S8" s="12">
        <f>MIN(Assumptions!C22,15*Assumptions!C21)</f>
        <v>0.22499999999999998</v>
      </c>
      <c r="T8" s="12">
        <f>MIN(Assumptions!C22,16*Assumptions!C21)</f>
        <v>0.24</v>
      </c>
      <c r="U8" s="12">
        <f>MIN(Assumptions!C22,17*Assumptions!C21)</f>
        <v>0.255</v>
      </c>
      <c r="V8" s="12">
        <f>MIN(Assumptions!C22,18*Assumptions!C21)</f>
        <v>0.27</v>
      </c>
      <c r="W8" s="12">
        <f>MIN(Assumptions!C22,19*Assumptions!C21)</f>
        <v>0.28499999999999998</v>
      </c>
      <c r="X8" s="12">
        <f>MIN(Assumptions!C22,20*Assumptions!C21)</f>
        <v>0.3</v>
      </c>
      <c r="Y8" s="12">
        <f>MIN(Assumptions!C22,21*Assumptions!C21)</f>
        <v>0.3</v>
      </c>
      <c r="Z8" s="12">
        <f>MIN(Assumptions!C22,22*Assumptions!C21)</f>
        <v>0.3</v>
      </c>
      <c r="AA8" s="12">
        <f>MIN(Assumptions!C22,23*Assumptions!C21)</f>
        <v>0.3</v>
      </c>
      <c r="AB8" s="12">
        <f>MIN(Assumptions!C22,24*Assumptions!C21)</f>
        <v>0.3</v>
      </c>
      <c r="AC8" s="12">
        <f>MIN(Assumptions!C22,25*Assumptions!C21)</f>
        <v>0.3</v>
      </c>
      <c r="AD8" s="12">
        <f>MIN(Assumptions!C22,26*Assumptions!C21)</f>
        <v>0.3</v>
      </c>
      <c r="AE8" s="12">
        <f>MIN(Assumptions!C22,27*Assumptions!C21)</f>
        <v>0.3</v>
      </c>
      <c r="AF8" s="12">
        <f>MIN(Assumptions!C22,28*Assumptions!C21)</f>
        <v>0.3</v>
      </c>
      <c r="AG8" s="12">
        <f>MIN(Assumptions!C22,29*Assumptions!C21)</f>
        <v>0.3</v>
      </c>
      <c r="AH8" s="12">
        <f>MIN(Assumptions!C22,30*Assumptions!C21)</f>
        <v>0.3</v>
      </c>
      <c r="AI8" s="12">
        <f>MIN(Assumptions!C22,31*Assumptions!C21)</f>
        <v>0.3</v>
      </c>
      <c r="AJ8" s="12">
        <f>MIN(Assumptions!C22,32*Assumptions!C21)</f>
        <v>0.3</v>
      </c>
      <c r="AK8" s="12">
        <f>MIN(Assumptions!C22,33*Assumptions!C21)</f>
        <v>0.3</v>
      </c>
      <c r="AL8" s="12">
        <f>M8</f>
        <v>0.13500000000000001</v>
      </c>
      <c r="AM8" s="12">
        <f>Y8</f>
        <v>0.3</v>
      </c>
      <c r="AN8" s="12">
        <f>AK8</f>
        <v>0.3</v>
      </c>
      <c r="AO8" t="s">
        <v>51</v>
      </c>
    </row>
    <row r="9" spans="1:41" ht="15" customHeight="1" x14ac:dyDescent="0.2">
      <c r="A9" s="3" t="s">
        <v>52</v>
      </c>
      <c r="B9" s="12">
        <f>Assumptions!C18*(1-B8*Assumptions!C23)</f>
        <v>0.09</v>
      </c>
      <c r="C9" s="12">
        <f>Assumptions!C18*(1-C8*Assumptions!C23)</f>
        <v>0.09</v>
      </c>
      <c r="D9" s="12">
        <f>Assumptions!C18*(1-D8*Assumptions!C23)</f>
        <v>0.09</v>
      </c>
      <c r="E9" s="12">
        <f>Assumptions!C18*(1-E8*Assumptions!C23)</f>
        <v>8.9595000000000008E-2</v>
      </c>
      <c r="F9" s="12">
        <f>Assumptions!C18*(1-F8*Assumptions!C23)</f>
        <v>8.9189999999999992E-2</v>
      </c>
      <c r="G9" s="12">
        <f>Assumptions!C18*(1-G8*Assumptions!C23)</f>
        <v>8.8785000000000003E-2</v>
      </c>
      <c r="H9" s="12">
        <f>Assumptions!C18*(1-H8*Assumptions!C23)</f>
        <v>8.838E-2</v>
      </c>
      <c r="I9" s="12">
        <f>Assumptions!C18*(1-I8*Assumptions!C23)</f>
        <v>8.7974999999999998E-2</v>
      </c>
      <c r="J9" s="12">
        <f>Assumptions!C18*(1-J8*Assumptions!C23)</f>
        <v>8.7569999999999995E-2</v>
      </c>
      <c r="K9" s="12">
        <f>Assumptions!C18*(1-K8*Assumptions!C23)</f>
        <v>8.7164999999999992E-2</v>
      </c>
      <c r="L9" s="12">
        <f>Assumptions!C18*(1-L8*Assumptions!C23)</f>
        <v>8.675999999999999E-2</v>
      </c>
      <c r="M9" s="12">
        <f>Assumptions!C18*(1-M8*Assumptions!C23)</f>
        <v>8.6355000000000001E-2</v>
      </c>
      <c r="N9" s="12">
        <f>Assumptions!C19*(1-N8*Assumptions!C23)</f>
        <v>7.6399999999999996E-2</v>
      </c>
      <c r="O9" s="12">
        <f>Assumptions!C19*(1-O8*Assumptions!C23)</f>
        <v>7.6039999999999996E-2</v>
      </c>
      <c r="P9" s="12">
        <f>Assumptions!C19*(1-P8*Assumptions!C23)</f>
        <v>7.5679999999999997E-2</v>
      </c>
      <c r="Q9" s="12">
        <f>Assumptions!C19*(1-Q8*Assumptions!C23)</f>
        <v>7.5319999999999998E-2</v>
      </c>
      <c r="R9" s="12">
        <f>Assumptions!C19*(1-R8*Assumptions!C23)</f>
        <v>7.4960000000000013E-2</v>
      </c>
      <c r="S9" s="12">
        <f>Assumptions!C19*(1-S8*Assumptions!C23)</f>
        <v>7.46E-2</v>
      </c>
      <c r="T9" s="12">
        <f>Assumptions!C19*(1-T8*Assumptions!C23)</f>
        <v>7.424E-2</v>
      </c>
      <c r="U9" s="12">
        <f>Assumptions!C19*(1-U8*Assumptions!C23)</f>
        <v>7.3880000000000001E-2</v>
      </c>
      <c r="V9" s="12">
        <f>Assumptions!C19*(1-V8*Assumptions!C23)</f>
        <v>7.3520000000000002E-2</v>
      </c>
      <c r="W9" s="12">
        <f>Assumptions!C19*(1-W8*Assumptions!C23)</f>
        <v>7.3160000000000003E-2</v>
      </c>
      <c r="X9" s="12">
        <f>Assumptions!C19*(1-X8*Assumptions!C23)</f>
        <v>7.2800000000000004E-2</v>
      </c>
      <c r="Y9" s="12">
        <f>Assumptions!C19*(1-Y8*Assumptions!C23)</f>
        <v>7.2800000000000004E-2</v>
      </c>
      <c r="Z9" s="12">
        <f>Assumptions!C20*(1-Z8*Assumptions!C23)</f>
        <v>5.9150000000000001E-2</v>
      </c>
      <c r="AA9" s="12">
        <f>Assumptions!C20*(1-AA8*Assumptions!C23)</f>
        <v>5.9150000000000001E-2</v>
      </c>
      <c r="AB9" s="12">
        <f>Assumptions!C20*(1-AB8*Assumptions!C23)</f>
        <v>5.9150000000000001E-2</v>
      </c>
      <c r="AC9" s="12">
        <f>Assumptions!C20*(1-AC8*Assumptions!C23)</f>
        <v>5.9150000000000001E-2</v>
      </c>
      <c r="AD9" s="12">
        <f>Assumptions!C20*(1-AD8*Assumptions!C23)</f>
        <v>5.9150000000000001E-2</v>
      </c>
      <c r="AE9" s="12">
        <f>Assumptions!C20*(1-AE8*Assumptions!C23)</f>
        <v>5.9150000000000001E-2</v>
      </c>
      <c r="AF9" s="12">
        <f>Assumptions!C20*(1-AF8*Assumptions!C23)</f>
        <v>5.9150000000000001E-2</v>
      </c>
      <c r="AG9" s="12">
        <f>Assumptions!C20*(1-AG8*Assumptions!C23)</f>
        <v>5.9150000000000001E-2</v>
      </c>
      <c r="AH9" s="12">
        <f>Assumptions!C20*(1-AH8*Assumptions!C23)</f>
        <v>5.9150000000000001E-2</v>
      </c>
      <c r="AI9" s="12">
        <f>Assumptions!C20*(1-AI8*Assumptions!C23)</f>
        <v>5.9150000000000001E-2</v>
      </c>
      <c r="AJ9" s="12">
        <f>Assumptions!C20*(1-AJ8*Assumptions!C23)</f>
        <v>5.9150000000000001E-2</v>
      </c>
      <c r="AK9" s="12">
        <f>Assumptions!C20*(1-AK8*Assumptions!C23)</f>
        <v>5.9150000000000001E-2</v>
      </c>
      <c r="AL9" s="12">
        <f>AVERAGE(B9:M9)</f>
        <v>8.8481249999999997E-2</v>
      </c>
      <c r="AM9" s="12">
        <f>AVERAGE(N9:Y9)</f>
        <v>7.4450000000000002E-2</v>
      </c>
      <c r="AN9" s="12">
        <f>AVERAGE(Z9:AK9)</f>
        <v>5.9150000000000008E-2</v>
      </c>
      <c r="AO9" t="s">
        <v>53</v>
      </c>
    </row>
    <row r="10" spans="1:41" ht="15" customHeight="1" x14ac:dyDescent="0.2">
      <c r="A10" s="3" t="s">
        <v>54</v>
      </c>
      <c r="B10" s="11">
        <f>0</f>
        <v>0</v>
      </c>
      <c r="C10" s="11">
        <f>0</f>
        <v>0</v>
      </c>
      <c r="D10" s="11">
        <f>0</f>
        <v>0</v>
      </c>
      <c r="E10" s="11">
        <f>0</f>
        <v>0</v>
      </c>
      <c r="F10" s="11">
        <f>0</f>
        <v>0</v>
      </c>
      <c r="G10" s="11">
        <f>0</f>
        <v>0</v>
      </c>
      <c r="H10" s="11">
        <f>0</f>
        <v>0</v>
      </c>
      <c r="I10" s="11">
        <f>0</f>
        <v>0</v>
      </c>
      <c r="J10" s="11">
        <f>0</f>
        <v>0</v>
      </c>
      <c r="K10" s="11">
        <f>0</f>
        <v>0</v>
      </c>
      <c r="L10" s="11">
        <f>0</f>
        <v>0</v>
      </c>
      <c r="M10" s="11">
        <f>0</f>
        <v>0</v>
      </c>
      <c r="N10" s="11">
        <f>M11*Assumptions!C26</f>
        <v>29.167482749495594</v>
      </c>
      <c r="O10" s="11">
        <f>N11*Assumptions!C26</f>
        <v>34.444157622844337</v>
      </c>
      <c r="P10" s="11">
        <f>O11*Assumptions!C26</f>
        <v>39.668308172749001</v>
      </c>
      <c r="Q10" s="11">
        <f>P11*Assumptions!C26</f>
        <v>44.916104562645899</v>
      </c>
      <c r="R10" s="11">
        <f>Q11*Assumptions!C26</f>
        <v>50.269592173940829</v>
      </c>
      <c r="S10" s="11">
        <f>R11*Assumptions!C26</f>
        <v>55.818520084862122</v>
      </c>
      <c r="T10" s="11">
        <f>S11*Assumptions!C26</f>
        <v>61.662426594164607</v>
      </c>
      <c r="U10" s="11">
        <f>T11*Assumptions!C26</f>
        <v>67.913036114115783</v>
      </c>
      <c r="V10" s="11">
        <f>U11*Assumptions!C26</f>
        <v>74.697030833463714</v>
      </c>
      <c r="W10" s="11">
        <f>V11*Assumptions!C26</f>
        <v>82.159271361347777</v>
      </c>
      <c r="X10" s="11">
        <f>W11*Assumptions!C26</f>
        <v>90.46655341323482</v>
      </c>
      <c r="Y10" s="11">
        <f>X11*Assumptions!C26</f>
        <v>99.812002852426218</v>
      </c>
      <c r="Z10" s="11">
        <f>Y11*Assumptions!C26</f>
        <v>110.38429716373987</v>
      </c>
      <c r="AA10" s="11">
        <f>Z11*Assumptions!C26</f>
        <v>123.94757756340553</v>
      </c>
      <c r="AB10" s="11">
        <f>AA11*Assumptions!C26</f>
        <v>139.36003620944666</v>
      </c>
      <c r="AC10" s="11">
        <f>AB11*Assumptions!C26</f>
        <v>156.99399613104472</v>
      </c>
      <c r="AD10" s="11">
        <f>AC11*Assumptions!C26</f>
        <v>177.28616776416069</v>
      </c>
      <c r="AE10" s="11">
        <f>AD11*Assumptions!C26</f>
        <v>200.74941402347449</v>
      </c>
      <c r="AF10" s="11">
        <f>AE11*Assumptions!C26</f>
        <v>227.98662140094817</v>
      </c>
      <c r="AG10" s="11">
        <f>AF11*Assumptions!C26</f>
        <v>259.70705695469809</v>
      </c>
      <c r="AH10" s="11">
        <f>AG11*Assumptions!C26</f>
        <v>296.74565937541269</v>
      </c>
      <c r="AI10" s="11">
        <f>AH11*Assumptions!C26</f>
        <v>340.08579294280077</v>
      </c>
      <c r="AJ10" s="11">
        <f>AI11*Assumptions!C26</f>
        <v>390.88608832557918</v>
      </c>
      <c r="AK10" s="11">
        <f>AJ11*Assumptions!C26</f>
        <v>450.51210644793025</v>
      </c>
      <c r="AL10" s="11">
        <f>SUM(B10:M10)</f>
        <v>0</v>
      </c>
      <c r="AM10" s="11">
        <f>SUM(N10:Y10)</f>
        <v>730.99448653529066</v>
      </c>
      <c r="AN10" s="11">
        <f>SUM(Z10:AK10)</f>
        <v>2874.6448143026414</v>
      </c>
      <c r="AO10" t="s">
        <v>55</v>
      </c>
    </row>
    <row r="11" spans="1:41" ht="15" customHeight="1" x14ac:dyDescent="0.2">
      <c r="A11" s="13" t="s">
        <v>56</v>
      </c>
      <c r="B11" s="11">
        <f>B6+B7</f>
        <v>38.4</v>
      </c>
      <c r="C11" s="11">
        <f t="shared" ref="C11:AK11" si="0">B11*(1-C9)-C10+C6+C7</f>
        <v>80.256</v>
      </c>
      <c r="D11" s="11">
        <f t="shared" si="0"/>
        <v>126.50111999999999</v>
      </c>
      <c r="E11" s="11">
        <f t="shared" si="0"/>
        <v>628.25968095359997</v>
      </c>
      <c r="F11" s="11">
        <f t="shared" si="0"/>
        <v>1096.6742659933484</v>
      </c>
      <c r="G11" s="11">
        <f t="shared" si="0"/>
        <v>1537.155939148249</v>
      </c>
      <c r="H11" s="11">
        <f t="shared" si="0"/>
        <v>1954.9649767224482</v>
      </c>
      <c r="I11" s="11">
        <f t="shared" si="0"/>
        <v>2355.2991306771141</v>
      </c>
      <c r="J11" s="11">
        <f t="shared" si="0"/>
        <v>2743.3857791862706</v>
      </c>
      <c r="K11" s="11">
        <f t="shared" si="0"/>
        <v>3124.5799859349104</v>
      </c>
      <c r="L11" s="11">
        <f t="shared" si="0"/>
        <v>3504.4707116210625</v>
      </c>
      <c r="M11" s="11">
        <f t="shared" si="0"/>
        <v>3888.9976999327459</v>
      </c>
      <c r="N11" s="11">
        <f t="shared" si="0"/>
        <v>4592.5543497125782</v>
      </c>
      <c r="O11" s="11">
        <f t="shared" si="0"/>
        <v>5289.107756366534</v>
      </c>
      <c r="P11" s="11">
        <f t="shared" si="0"/>
        <v>5988.8139416861204</v>
      </c>
      <c r="Q11" s="11">
        <f t="shared" si="0"/>
        <v>6702.6122898587773</v>
      </c>
      <c r="R11" s="11">
        <f t="shared" si="0"/>
        <v>7442.4693446482834</v>
      </c>
      <c r="S11" s="11">
        <f t="shared" si="0"/>
        <v>8221.6568792219477</v>
      </c>
      <c r="T11" s="11">
        <f t="shared" si="0"/>
        <v>9055.0714818821052</v>
      </c>
      <c r="U11" s="11">
        <f t="shared" si="0"/>
        <v>9959.6041111284958</v>
      </c>
      <c r="V11" s="11">
        <f t="shared" si="0"/>
        <v>10954.569514846371</v>
      </c>
      <c r="W11" s="11">
        <f t="shared" si="0"/>
        <v>12062.207121764643</v>
      </c>
      <c r="X11" s="11">
        <f t="shared" si="0"/>
        <v>13308.267046990162</v>
      </c>
      <c r="Y11" s="11">
        <f t="shared" si="0"/>
        <v>14717.906288498651</v>
      </c>
      <c r="Z11" s="11">
        <f t="shared" si="0"/>
        <v>16526.343675120737</v>
      </c>
      <c r="AA11" s="11">
        <f t="shared" si="0"/>
        <v>18581.338161259555</v>
      </c>
      <c r="AB11" s="11">
        <f t="shared" si="0"/>
        <v>20932.532817472631</v>
      </c>
      <c r="AC11" s="11">
        <f t="shared" si="0"/>
        <v>23638.155701888092</v>
      </c>
      <c r="AD11" s="11">
        <f t="shared" si="0"/>
        <v>26766.588536463267</v>
      </c>
      <c r="AE11" s="11">
        <f t="shared" si="0"/>
        <v>30398.216186793088</v>
      </c>
      <c r="AF11" s="11">
        <f t="shared" si="0"/>
        <v>34627.607593959743</v>
      </c>
      <c r="AG11" s="11">
        <f t="shared" si="0"/>
        <v>39566.087916721692</v>
      </c>
      <c r="AH11" s="11">
        <f t="shared" si="0"/>
        <v>45344.772392373437</v>
      </c>
      <c r="AI11" s="11">
        <f t="shared" si="0"/>
        <v>52118.145110077225</v>
      </c>
      <c r="AJ11" s="11">
        <f t="shared" si="0"/>
        <v>60068.280859724036</v>
      </c>
      <c r="AK11" s="11">
        <f t="shared" si="0"/>
        <v>69409.825883478916</v>
      </c>
      <c r="AL11" s="11">
        <f>M11</f>
        <v>3888.9976999327459</v>
      </c>
      <c r="AM11" s="11">
        <f>Y11</f>
        <v>14717.906288498651</v>
      </c>
      <c r="AN11" s="11">
        <f>AK11</f>
        <v>69409.825883478916</v>
      </c>
      <c r="AO11" t="s">
        <v>57</v>
      </c>
    </row>
    <row r="12" spans="1:41" ht="27.75" customHeight="1" x14ac:dyDescent="0.2">
      <c r="A12" s="13" t="s">
        <v>58</v>
      </c>
      <c r="B12" s="11">
        <f>0</f>
        <v>0</v>
      </c>
      <c r="C12" s="11">
        <f>0</f>
        <v>0</v>
      </c>
      <c r="D12" s="11">
        <f>0</f>
        <v>0</v>
      </c>
      <c r="E12" s="11">
        <f>0</f>
        <v>0</v>
      </c>
      <c r="F12" s="11">
        <f>0</f>
        <v>0</v>
      </c>
      <c r="G12" s="11">
        <f>0</f>
        <v>0</v>
      </c>
      <c r="H12" s="11">
        <f>0</f>
        <v>0</v>
      </c>
      <c r="I12" s="11">
        <f>0</f>
        <v>0</v>
      </c>
      <c r="J12" s="11">
        <f>0</f>
        <v>0</v>
      </c>
      <c r="K12" s="11">
        <f>0</f>
        <v>0</v>
      </c>
      <c r="L12" s="11">
        <f>0</f>
        <v>0</v>
      </c>
      <c r="M12" s="11">
        <f>0</f>
        <v>0</v>
      </c>
      <c r="N12" s="11">
        <f>N10</f>
        <v>29.167482749495594</v>
      </c>
      <c r="O12" s="11">
        <f>N12*(1-Assumptions!C27)+O10</f>
        <v>62.444941062360101</v>
      </c>
      <c r="P12" s="11">
        <f>O12*(1-Assumptions!C27)+P10</f>
        <v>99.615451592614704</v>
      </c>
      <c r="Q12" s="11">
        <f>P12*(1-Assumptions!C27)+Q10</f>
        <v>140.546938091556</v>
      </c>
      <c r="R12" s="11">
        <f>Q12*(1-Assumptions!C27)+R10</f>
        <v>185.19465274183457</v>
      </c>
      <c r="S12" s="11">
        <f>R12*(1-Assumptions!C27)+S10</f>
        <v>233.60538671702329</v>
      </c>
      <c r="T12" s="11">
        <f>S12*(1-Assumptions!C27)+T10</f>
        <v>285.92359784250698</v>
      </c>
      <c r="U12" s="11">
        <f>T12*(1-Assumptions!C27)+U10</f>
        <v>342.39969004292243</v>
      </c>
      <c r="V12" s="11">
        <f>U12*(1-Assumptions!C27)+V10</f>
        <v>403.40073327466922</v>
      </c>
      <c r="W12" s="11">
        <f>V12*(1-Assumptions!C27)+W10</f>
        <v>469.42397530503024</v>
      </c>
      <c r="X12" s="11">
        <f>W12*(1-Assumptions!C27)+X10</f>
        <v>541.1135697060638</v>
      </c>
      <c r="Y12" s="11">
        <f>X12*(1-Assumptions!C27)+Y10</f>
        <v>619.28102977024741</v>
      </c>
      <c r="Z12" s="11">
        <f>Y12*(1-Assumptions!C27)+Z10</f>
        <v>704.89408574317736</v>
      </c>
      <c r="AA12" s="11">
        <f>Z12*(1-Assumptions!C27)+AA10</f>
        <v>800.64589987685576</v>
      </c>
      <c r="AB12" s="11">
        <f>AA12*(1-Assumptions!C27)+AB10</f>
        <v>907.98010009122822</v>
      </c>
      <c r="AC12" s="11">
        <f>AB12*(1-Assumptions!C27)+AC10</f>
        <v>1028.6548922186239</v>
      </c>
      <c r="AD12" s="11">
        <f>AC12*(1-Assumptions!C27)+AD10</f>
        <v>1164.7948642940396</v>
      </c>
      <c r="AE12" s="11">
        <f>AD12*(1-Assumptions!C27)+AE10</f>
        <v>1318.9524837457523</v>
      </c>
      <c r="AF12" s="11">
        <f>AE12*(1-Assumptions!C27)+AF10</f>
        <v>1494.1810057968703</v>
      </c>
      <c r="AG12" s="11">
        <f>AF12*(1-Assumptions!C27)+AG10</f>
        <v>1694.1208225196935</v>
      </c>
      <c r="AH12" s="11">
        <f>AG12*(1-Assumptions!C27)+AH10</f>
        <v>1923.1016489943186</v>
      </c>
      <c r="AI12" s="11">
        <f>AH12*(1-Assumptions!C27)+AI10</f>
        <v>2186.2633759773466</v>
      </c>
      <c r="AJ12" s="11">
        <f>AI12*(1-Assumptions!C27)+AJ10</f>
        <v>2489.6989292638318</v>
      </c>
      <c r="AK12" s="11">
        <f>AJ12*(1-Assumptions!C27)+AK10</f>
        <v>2840.623078541209</v>
      </c>
      <c r="AL12" s="11">
        <f>M12</f>
        <v>0</v>
      </c>
      <c r="AM12" s="11">
        <f>Y12</f>
        <v>619.28102977024741</v>
      </c>
      <c r="AN12" s="11">
        <f>AK12</f>
        <v>2840.623078541209</v>
      </c>
      <c r="AO12" t="s">
        <v>59</v>
      </c>
    </row>
    <row r="13" spans="1:41" ht="15" customHeight="1" x14ac:dyDescent="0.2">
      <c r="A13" s="3" t="s">
        <v>60</v>
      </c>
      <c r="B13" s="14">
        <f>0</f>
        <v>0</v>
      </c>
      <c r="C13" s="14">
        <f>0</f>
        <v>0</v>
      </c>
      <c r="D13" s="14">
        <f>0</f>
        <v>0</v>
      </c>
      <c r="E13" s="14">
        <f>0</f>
        <v>0</v>
      </c>
      <c r="F13" s="14">
        <f>0</f>
        <v>0</v>
      </c>
      <c r="G13" s="14">
        <f>Assumptions!C29</f>
        <v>1.5</v>
      </c>
      <c r="H13" s="14">
        <f>G13+Assumptions!C29</f>
        <v>3</v>
      </c>
      <c r="I13" s="14">
        <f>H13+Assumptions!C29</f>
        <v>4.5</v>
      </c>
      <c r="J13" s="14">
        <f>I13+Assumptions!C29</f>
        <v>6</v>
      </c>
      <c r="K13" s="14">
        <f>J13+Assumptions!C29</f>
        <v>7.5</v>
      </c>
      <c r="L13" s="14">
        <f>K13+Assumptions!C29</f>
        <v>9</v>
      </c>
      <c r="M13" s="14">
        <f>L13+Assumptions!C29</f>
        <v>10.5</v>
      </c>
      <c r="N13" s="14">
        <f>M13+Assumptions!C30</f>
        <v>13.5</v>
      </c>
      <c r="O13" s="14">
        <f>N13+Assumptions!C30</f>
        <v>16.5</v>
      </c>
      <c r="P13" s="14">
        <f>O13+Assumptions!C30</f>
        <v>19.5</v>
      </c>
      <c r="Q13" s="14">
        <f>P13+Assumptions!C30</f>
        <v>22.5</v>
      </c>
      <c r="R13" s="14">
        <f>Q13+Assumptions!C30</f>
        <v>25.5</v>
      </c>
      <c r="S13" s="14">
        <f>R13+Assumptions!C30</f>
        <v>28.5</v>
      </c>
      <c r="T13" s="14">
        <f>S13+Assumptions!C30</f>
        <v>31.5</v>
      </c>
      <c r="U13" s="14">
        <f>T13+Assumptions!C30</f>
        <v>34.5</v>
      </c>
      <c r="V13" s="14">
        <f>U13+Assumptions!C30</f>
        <v>37.5</v>
      </c>
      <c r="W13" s="14">
        <f>V13+Assumptions!C30</f>
        <v>40.5</v>
      </c>
      <c r="X13" s="14">
        <f>W13+Assumptions!C30</f>
        <v>43.5</v>
      </c>
      <c r="Y13" s="14">
        <f>X13+Assumptions!C30</f>
        <v>46.5</v>
      </c>
      <c r="Z13" s="14">
        <f>Y13+Assumptions!C31</f>
        <v>50</v>
      </c>
      <c r="AA13" s="14">
        <f>Z13+Assumptions!C31</f>
        <v>53.5</v>
      </c>
      <c r="AB13" s="14">
        <f>AA13+Assumptions!C31</f>
        <v>57</v>
      </c>
      <c r="AC13" s="14">
        <f>AB13+Assumptions!C31</f>
        <v>60.5</v>
      </c>
      <c r="AD13" s="14">
        <f>AC13+Assumptions!C31</f>
        <v>64</v>
      </c>
      <c r="AE13" s="14">
        <f>AD13+Assumptions!C31</f>
        <v>67.5</v>
      </c>
      <c r="AF13" s="14">
        <f>AE13+Assumptions!C31</f>
        <v>71</v>
      </c>
      <c r="AG13" s="14">
        <f>AF13+Assumptions!C31</f>
        <v>74.5</v>
      </c>
      <c r="AH13" s="14">
        <f>AG13+Assumptions!C31</f>
        <v>78</v>
      </c>
      <c r="AI13" s="14">
        <f>AH13+Assumptions!C31</f>
        <v>81.5</v>
      </c>
      <c r="AJ13" s="14">
        <f>AI13+Assumptions!C31</f>
        <v>85</v>
      </c>
      <c r="AK13" s="14">
        <f>AJ13+Assumptions!C31</f>
        <v>88.5</v>
      </c>
      <c r="AL13" s="14">
        <f>M13</f>
        <v>10.5</v>
      </c>
      <c r="AM13" s="14">
        <f>Y13</f>
        <v>46.5</v>
      </c>
      <c r="AN13" s="14">
        <f>AK13</f>
        <v>88.5</v>
      </c>
    </row>
    <row r="14" spans="1:41" ht="15" customHeight="1" x14ac:dyDescent="0.2">
      <c r="A14" s="13" t="s">
        <v>61</v>
      </c>
      <c r="B14" s="11">
        <f>0</f>
        <v>0</v>
      </c>
      <c r="C14" s="11">
        <f>0</f>
        <v>0</v>
      </c>
      <c r="D14" s="11">
        <f>0</f>
        <v>0</v>
      </c>
      <c r="E14" s="11">
        <f>0</f>
        <v>0</v>
      </c>
      <c r="F14" s="11">
        <f>0</f>
        <v>0</v>
      </c>
      <c r="G14" s="11">
        <f>Assumptions!C29*Assumptions!C32</f>
        <v>180</v>
      </c>
      <c r="H14" s="11">
        <f>G14*(1-(1-(1-Assumptions!C33)^(1/12)))+Assumptions!C29*Assumptions!C32</f>
        <v>356.68377537727531</v>
      </c>
      <c r="I14" s="11">
        <f>H14*(1-(1-(1-Assumptions!C33)^(1/12)))+Assumptions!C29*Assumptions!C32</f>
        <v>530.1124224970946</v>
      </c>
      <c r="J14" s="11">
        <f>I14*(1-(1-(1-Assumptions!C33)^(1/12)))+Assumptions!C29*Assumptions!C32</f>
        <v>700.34591211766622</v>
      </c>
      <c r="K14" s="11">
        <f>J14*(1-(1-(1-Assumptions!C33)^(1/12)))+Assumptions!C29*Assumptions!C32</f>
        <v>867.4431101277263</v>
      </c>
      <c r="L14" s="11">
        <f>K14*(1-(1-(1-Assumptions!C33)^(1/12)))+Assumptions!C29*Assumptions!C32</f>
        <v>1031.4617979020682</v>
      </c>
      <c r="M14" s="11">
        <f>L14*(1-(1-(1-Assumptions!C33)^(1/12)))+Assumptions!C29*Assumptions!C32</f>
        <v>1192.4586922820531</v>
      </c>
      <c r="N14" s="11">
        <f>M14*(1-(1-(1-Assumptions!C33)^(1/12)))+Assumptions!C30*Assumptions!C32</f>
        <v>1530.4894651880095</v>
      </c>
      <c r="O14" s="11">
        <f>N14*(1-(1-(1-Assumptions!C33)^(1/12)))+Assumptions!C30*Assumptions!C32</f>
        <v>1862.2925382475803</v>
      </c>
      <c r="P14" s="11">
        <f>O14*(1-(1-(1-Assumptions!C33)^(1/12)))+Assumptions!C30*Assumptions!C32</f>
        <v>2187.9826473028406</v>
      </c>
      <c r="Q14" s="11">
        <f>P14*(1-(1-(1-Assumptions!C33)^(1/12)))+Assumptions!C30*Assumptions!C32</f>
        <v>2507.672414363507</v>
      </c>
      <c r="R14" s="11">
        <f>Q14*(1-(1-(1-Assumptions!C33)^(1/12)))+Assumptions!C30*Assumptions!C32</f>
        <v>2821.4723865510637</v>
      </c>
      <c r="S14" s="11">
        <f>R14*(1-(1-(1-Assumptions!C33)^(1/12)))+Assumptions!C30*Assumptions!C32</f>
        <v>3129.4910743254054</v>
      </c>
      <c r="T14" s="11">
        <f>S14*(1-(1-(1-Assumptions!C33)^(1/12)))+Assumptions!C30*Assumptions!C32</f>
        <v>3431.8349890072104</v>
      </c>
      <c r="U14" s="11">
        <f>T14*(1-(1-(1-Assumptions!C33)^(1/12)))+Assumptions!C30*Assumptions!C32</f>
        <v>3728.6086796090221</v>
      </c>
      <c r="V14" s="11">
        <f>U14*(1-(1-(1-Assumptions!C33)^(1/12)))+Assumptions!C30*Assumptions!C32</f>
        <v>4019.914768987775</v>
      </c>
      <c r="W14" s="11">
        <f>V14*(1-(1-(1-Assumptions!C33)^(1/12)))+Assumptions!C30*Assumptions!C32</f>
        <v>4305.8539893312645</v>
      </c>
      <c r="X14" s="11">
        <f>W14*(1-(1-(1-Assumptions!C33)^(1/12)))+Assumptions!C30*Assumptions!C32</f>
        <v>4586.5252169908326</v>
      </c>
      <c r="Y14" s="11">
        <f>X14*(1-(1-(1-Assumptions!C33)^(1/12)))+Assumptions!C30*Assumptions!C32</f>
        <v>4862.0255066723175</v>
      </c>
      <c r="Z14" s="11">
        <f>Y14*(1-(1-(1-Assumptions!C33)^(1/12)))+Assumptions!C31*Assumptions!C32</f>
        <v>5192.4501249970826</v>
      </c>
      <c r="AA14" s="11">
        <f>Z14*(1-(1-(1-Assumptions!C33)^(1/12)))+Assumptions!C31*Assumptions!C32</f>
        <v>5516.7871752371648</v>
      </c>
      <c r="AB14" s="11">
        <f>AA14*(1-(1-(1-Assumptions!C33)^(1/12)))+Assumptions!C31*Assumptions!C32</f>
        <v>5835.1488115213133</v>
      </c>
      <c r="AC14" s="11">
        <f>AB14*(1-(1-(1-Assumptions!C33)^(1/12)))+Assumptions!C31*Assumptions!C32</f>
        <v>6147.6451217100366</v>
      </c>
      <c r="AD14" s="11">
        <f>AC14*(1-(1-(1-Assumptions!C33)^(1/12)))+Assumptions!C31*Assumptions!C32</f>
        <v>6454.3841654634352</v>
      </c>
      <c r="AE14" s="11">
        <f>AD14*(1-(1-(1-Assumptions!C33)^(1/12)))+Assumptions!C31*Assumptions!C32</f>
        <v>6755.4720116076896</v>
      </c>
      <c r="AF14" s="11">
        <f>AE14*(1-(1-(1-Assumptions!C33)^(1/12)))+Assumptions!C31*Assumptions!C32</f>
        <v>7051.012774813129</v>
      </c>
      <c r="AG14" s="11">
        <f>AF14*(1-(1-(1-Assumptions!C33)^(1/12)))+Assumptions!C31*Assumptions!C32</f>
        <v>7341.1086515965635</v>
      </c>
      <c r="AH14" s="11">
        <f>AG14*(1-(1-(1-Assumptions!C33)^(1/12)))+Assumptions!C31*Assumptions!C32</f>
        <v>7625.8599556603313</v>
      </c>
      <c r="AI14" s="11">
        <f>AH14*(1-(1-(1-Assumptions!C33)^(1/12)))+Assumptions!C31*Assumptions!C32</f>
        <v>7905.3651525802698</v>
      </c>
      <c r="AJ14" s="11">
        <f>AI14*(1-(1-(1-Assumptions!C33)^(1/12)))+Assumptions!C31*Assumptions!C32</f>
        <v>8179.7208938546228</v>
      </c>
      <c r="AK14" s="11">
        <f>AJ14*(1-(1-(1-Assumptions!C33)^(1/12)))+Assumptions!C31*Assumptions!C32</f>
        <v>8449.0220503256423</v>
      </c>
      <c r="AL14" s="11">
        <f>M14</f>
        <v>1192.4586922820531</v>
      </c>
      <c r="AM14" s="11">
        <f>Y14</f>
        <v>4862.0255066723175</v>
      </c>
      <c r="AN14" s="11">
        <f>AK14</f>
        <v>8449.0220503256423</v>
      </c>
      <c r="AO14" t="s">
        <v>62</v>
      </c>
    </row>
    <row r="15" spans="1:41" ht="15" customHeight="1" x14ac:dyDescent="0.2">
      <c r="A15" s="13" t="s">
        <v>63</v>
      </c>
      <c r="B15" s="15">
        <f t="shared" ref="B15:AK15" si="1">B11+B12+B14</f>
        <v>38.4</v>
      </c>
      <c r="C15" s="15">
        <f t="shared" si="1"/>
        <v>80.256</v>
      </c>
      <c r="D15" s="15">
        <f t="shared" si="1"/>
        <v>126.50111999999999</v>
      </c>
      <c r="E15" s="15">
        <f t="shared" si="1"/>
        <v>628.25968095359997</v>
      </c>
      <c r="F15" s="15">
        <f t="shared" si="1"/>
        <v>1096.6742659933484</v>
      </c>
      <c r="G15" s="15">
        <f t="shared" si="1"/>
        <v>1717.155939148249</v>
      </c>
      <c r="H15" s="15">
        <f t="shared" si="1"/>
        <v>2311.6487520997234</v>
      </c>
      <c r="I15" s="15">
        <f t="shared" si="1"/>
        <v>2885.4115531742086</v>
      </c>
      <c r="J15" s="15">
        <f t="shared" si="1"/>
        <v>3443.7316913039367</v>
      </c>
      <c r="K15" s="15">
        <f t="shared" si="1"/>
        <v>3992.0230960626368</v>
      </c>
      <c r="L15" s="15">
        <f t="shared" si="1"/>
        <v>4535.9325095231306</v>
      </c>
      <c r="M15" s="15">
        <f t="shared" si="1"/>
        <v>5081.4563922147991</v>
      </c>
      <c r="N15" s="15">
        <f t="shared" si="1"/>
        <v>6152.211297650083</v>
      </c>
      <c r="O15" s="15">
        <f t="shared" si="1"/>
        <v>7213.8452356764747</v>
      </c>
      <c r="P15" s="15">
        <f t="shared" si="1"/>
        <v>8276.4120405815756</v>
      </c>
      <c r="Q15" s="15">
        <f t="shared" si="1"/>
        <v>9350.8316423138403</v>
      </c>
      <c r="R15" s="15">
        <f t="shared" si="1"/>
        <v>10449.136383941182</v>
      </c>
      <c r="S15" s="15">
        <f t="shared" si="1"/>
        <v>11584.753340264377</v>
      </c>
      <c r="T15" s="15">
        <f t="shared" si="1"/>
        <v>12772.830068731822</v>
      </c>
      <c r="U15" s="15">
        <f t="shared" si="1"/>
        <v>14030.612480780441</v>
      </c>
      <c r="V15" s="15">
        <f t="shared" si="1"/>
        <v>15377.885017108816</v>
      </c>
      <c r="W15" s="15">
        <f t="shared" si="1"/>
        <v>16837.485086400935</v>
      </c>
      <c r="X15" s="15">
        <f t="shared" si="1"/>
        <v>18435.905833687058</v>
      </c>
      <c r="Y15" s="15">
        <f t="shared" si="1"/>
        <v>20199.212824941216</v>
      </c>
      <c r="Z15" s="15">
        <f t="shared" si="1"/>
        <v>22423.687885860996</v>
      </c>
      <c r="AA15" s="15">
        <f t="shared" si="1"/>
        <v>24898.771236373577</v>
      </c>
      <c r="AB15" s="15">
        <f t="shared" si="1"/>
        <v>27675.661729085172</v>
      </c>
      <c r="AC15" s="15">
        <f t="shared" si="1"/>
        <v>30814.455715816752</v>
      </c>
      <c r="AD15" s="15">
        <f t="shared" si="1"/>
        <v>34385.76756622074</v>
      </c>
      <c r="AE15" s="15">
        <f t="shared" si="1"/>
        <v>38472.640682146535</v>
      </c>
      <c r="AF15" s="15">
        <f t="shared" si="1"/>
        <v>43172.801374569739</v>
      </c>
      <c r="AG15" s="15">
        <f t="shared" si="1"/>
        <v>48601.317390837954</v>
      </c>
      <c r="AH15" s="15">
        <f t="shared" si="1"/>
        <v>54893.733997028088</v>
      </c>
      <c r="AI15" s="15">
        <f t="shared" si="1"/>
        <v>62209.773638634841</v>
      </c>
      <c r="AJ15" s="15">
        <f t="shared" si="1"/>
        <v>70737.700682842493</v>
      </c>
      <c r="AK15" s="15">
        <f t="shared" si="1"/>
        <v>80699.471012345763</v>
      </c>
      <c r="AL15" s="15">
        <f>M15</f>
        <v>5081.4563922147991</v>
      </c>
      <c r="AM15" s="15">
        <f>Y15</f>
        <v>20199.212824941216</v>
      </c>
      <c r="AN15" s="15">
        <f>AK15</f>
        <v>80699.471012345763</v>
      </c>
      <c r="AO15" t="s">
        <v>64</v>
      </c>
    </row>
    <row r="17" spans="1:41" ht="15" customHeight="1" x14ac:dyDescent="0.2">
      <c r="A17" s="30" t="s">
        <v>65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</row>
    <row r="18" spans="1:41" ht="15" customHeight="1" x14ac:dyDescent="0.2">
      <c r="A18" s="3" t="s">
        <v>66</v>
      </c>
      <c r="B18" s="16">
        <f>B11*Assumptions!C4</f>
        <v>191.61600000000001</v>
      </c>
      <c r="C18" s="16">
        <f>(B11+C11)/2*Assumptions!C4</f>
        <v>296.04672000000005</v>
      </c>
      <c r="D18" s="16">
        <f>(C11+D11)/2*Assumptions!C4</f>
        <v>515.85901439999998</v>
      </c>
      <c r="E18" s="16">
        <f>(D11+E11)/2*Assumptions!C4</f>
        <v>1883.1281983792321</v>
      </c>
      <c r="F18" s="16">
        <f>(E11+F11)/2*Assumptions!C4</f>
        <v>4303.7101976326358</v>
      </c>
      <c r="G18" s="16">
        <f>(F11+G11)/2*Assumptions!C4</f>
        <v>6571.4063618282862</v>
      </c>
      <c r="H18" s="16">
        <f>(G11+H11)/2*Assumptions!C4</f>
        <v>8712.8416850973899</v>
      </c>
      <c r="I18" s="16">
        <f>(H11+I11)/2*Assumptions!C4</f>
        <v>10754.108947961908</v>
      </c>
      <c r="J18" s="16">
        <f>(I11+J11)/2*Assumptions!C4</f>
        <v>12721.218850109146</v>
      </c>
      <c r="K18" s="16">
        <f>(J11+K11)/2*Assumptions!C4</f>
        <v>14640.574583977348</v>
      </c>
      <c r="L18" s="16">
        <f>(K11+L11)/2*Assumptions!C4</f>
        <v>16539.481490402151</v>
      </c>
      <c r="M18" s="16">
        <f>(L11+M11)/2*Assumptions!C4</f>
        <v>18446.703686826753</v>
      </c>
      <c r="N18" s="16">
        <f>(M11+N11)/2*Assumptions!C4</f>
        <v>21161.472363865087</v>
      </c>
      <c r="O18" s="16">
        <f>(N11+O11)/2*Assumptions!C4</f>
        <v>24654.746954667382</v>
      </c>
      <c r="P18" s="16">
        <f>(O11+P11)/2*Assumptions!C4</f>
        <v>28138.414636641373</v>
      </c>
      <c r="Q18" s="16">
        <f>(P11+Q11)/2*Assumptions!C4</f>
        <v>31665.108447704522</v>
      </c>
      <c r="R18" s="16">
        <f>(Q11+R11)/2*Assumptions!C4</f>
        <v>35291.978678095118</v>
      </c>
      <c r="S18" s="16">
        <f>(R11+S11)/2*Assumptions!C4</f>
        <v>39081.994928556225</v>
      </c>
      <c r="T18" s="16">
        <f>(S11+T11)/2*Assumptions!C4</f>
        <v>43105.437260954619</v>
      </c>
      <c r="U18" s="16">
        <f>(T11+U11)/2*Assumptions!C4</f>
        <v>47441.615604561448</v>
      </c>
      <c r="V18" s="16">
        <f>(U11+V11)/2*Assumptions!C4</f>
        <v>52180.863196807288</v>
      </c>
      <c r="W18" s="16">
        <f>(V11+W11)/2*Assumptions!C4</f>
        <v>57426.857708344483</v>
      </c>
      <c r="X18" s="16">
        <f>(W11+X11)/2*Assumptions!C4</f>
        <v>63299.333051043242</v>
      </c>
      <c r="Y18" s="16">
        <f>(X11+Y11)/2*Assumptions!C4</f>
        <v>69925.302472044597</v>
      </c>
      <c r="Z18" s="16">
        <f>(Y11+Z11)/2*Assumptions!C4</f>
        <v>77954.403659230375</v>
      </c>
      <c r="AA18" s="16">
        <f>(Z11+AA11)/2*Assumptions!C4</f>
        <v>87593.666181768829</v>
      </c>
      <c r="AB18" s="16">
        <f>(AA11+AB11)/2*Assumptions!C4</f>
        <v>98587.108091936811</v>
      </c>
      <c r="AC18" s="16">
        <f>(AB11+AC11)/2*Assumptions!C4</f>
        <v>111203.86785580502</v>
      </c>
      <c r="AD18" s="16">
        <f>(AC11+AD11)/2*Assumptions!C4</f>
        <v>125759.83687468663</v>
      </c>
      <c r="AE18" s="16">
        <f>(AD11+AE11)/2*Assumptions!C4</f>
        <v>142626.18778452461</v>
      </c>
      <c r="AF18" s="16">
        <f>(AE11+AF11)/2*Assumptions!C4</f>
        <v>162239.43033297834</v>
      </c>
      <c r="AG18" s="16">
        <f>(AF11+AG11)/2*Assumptions!C4</f>
        <v>185113.27029915017</v>
      </c>
      <c r="AH18" s="16">
        <f>(AG11+AH11)/2*Assumptions!C4</f>
        <v>211852.59647119234</v>
      </c>
      <c r="AI18" s="16">
        <f>(AH11+AI11)/2*Assumptions!C4</f>
        <v>243169.97916861443</v>
      </c>
      <c r="AJ18" s="16">
        <f>(AI11+AJ11)/2*Assumptions!C4</f>
        <v>279905.13279465417</v>
      </c>
      <c r="AK18" s="16">
        <f>(AJ11+AK11)/2*Assumptions!C4</f>
        <v>323047.8763242914</v>
      </c>
      <c r="AL18" s="16">
        <f t="shared" ref="AL18:AL24" si="2">SUM(B18:M18)</f>
        <v>95576.695736614842</v>
      </c>
      <c r="AM18" s="16">
        <f t="shared" ref="AM18:AM24" si="3">SUM(N18:Y18)</f>
        <v>513373.12530328531</v>
      </c>
      <c r="AN18" s="16">
        <f t="shared" ref="AN18:AN24" si="4">SUM(Z18:AK18)</f>
        <v>2049053.3558388331</v>
      </c>
    </row>
    <row r="19" spans="1:41" ht="15" customHeight="1" x14ac:dyDescent="0.2">
      <c r="A19" s="3" t="s">
        <v>67</v>
      </c>
      <c r="B19" s="16">
        <f>0</f>
        <v>0</v>
      </c>
      <c r="C19" s="16">
        <f>0</f>
        <v>0</v>
      </c>
      <c r="D19" s="16">
        <f>0</f>
        <v>0</v>
      </c>
      <c r="E19" s="16">
        <f>0</f>
        <v>0</v>
      </c>
      <c r="F19" s="16">
        <f>0</f>
        <v>0</v>
      </c>
      <c r="G19" s="16">
        <f>0</f>
        <v>0</v>
      </c>
      <c r="H19" s="16">
        <f>0</f>
        <v>0</v>
      </c>
      <c r="I19" s="16">
        <f>0</f>
        <v>0</v>
      </c>
      <c r="J19" s="16">
        <f>0</f>
        <v>0</v>
      </c>
      <c r="K19" s="16">
        <f>0</f>
        <v>0</v>
      </c>
      <c r="L19" s="16">
        <f>0</f>
        <v>0</v>
      </c>
      <c r="M19" s="16">
        <f>0</f>
        <v>0</v>
      </c>
      <c r="N19" s="16">
        <f>N12*Assumptions!C5</f>
        <v>378.88560091594775</v>
      </c>
      <c r="O19" s="16">
        <f>(N12+O12)/2*Assumptions!C5</f>
        <v>595.02269265800271</v>
      </c>
      <c r="P19" s="16">
        <f>(O12+P12)/2*Assumptions!C5</f>
        <v>1052.5822502940614</v>
      </c>
      <c r="Q19" s="16">
        <f>(P12+Q12)/2*Assumptions!C5</f>
        <v>1559.8547209986887</v>
      </c>
      <c r="R19" s="16">
        <f>(Q12+R12)/2*Assumptions!C5</f>
        <v>2115.6916324628714</v>
      </c>
      <c r="S19" s="16">
        <f>(R12+S12)/2*Assumptions!C5</f>
        <v>2720.1062562852821</v>
      </c>
      <c r="T19" s="16">
        <f>(S12+T12)/2*Assumptions!C5</f>
        <v>3374.3407547141492</v>
      </c>
      <c r="U19" s="16">
        <f>(T12+U12)/2*Assumptions!C5</f>
        <v>4080.959754815864</v>
      </c>
      <c r="V19" s="16">
        <f>(U12+V12)/2*Assumptions!C5</f>
        <v>4843.9737494477577</v>
      </c>
      <c r="W19" s="16">
        <f>(V12+W12)/2*Assumptions!C5</f>
        <v>5668.9964822251486</v>
      </c>
      <c r="X19" s="16">
        <f>(W12+X12)/2*Assumptions!C5</f>
        <v>6563.4413548470557</v>
      </c>
      <c r="Y19" s="16">
        <f>(X12+Y12)/2*Assumptions!C5</f>
        <v>7536.7629235986415</v>
      </c>
      <c r="Z19" s="16">
        <f>(Y12+Z12)/2*Assumptions!C5</f>
        <v>8600.5173752596947</v>
      </c>
      <c r="AA19" s="16">
        <f>(Z12+AA12)/2*Assumptions!C5</f>
        <v>9778.4822066021152</v>
      </c>
      <c r="AB19" s="16">
        <f>(AA12+AB12)/2*Assumptions!C5</f>
        <v>11097.525869792706</v>
      </c>
      <c r="AC19" s="16">
        <f>(AB12+AC12)/2*Assumptions!C5</f>
        <v>12578.44427505249</v>
      </c>
      <c r="AD19" s="16">
        <f>(AC12+AD12)/2*Assumptions!C5</f>
        <v>14246.45616854975</v>
      </c>
      <c r="AE19" s="16">
        <f>(AD12+AE12)/2*Assumptions!C5</f>
        <v>16131.93902551845</v>
      </c>
      <c r="AF19" s="16">
        <f>(AE12+AF12)/2*Assumptions!C5</f>
        <v>18271.302014579334</v>
      </c>
      <c r="AG19" s="16">
        <f>(AF12+AG12)/2*Assumptions!C5</f>
        <v>20708.020374916083</v>
      </c>
      <c r="AH19" s="16">
        <f>(AG12+AH12)/2*Assumptions!C5</f>
        <v>23493.859952483508</v>
      </c>
      <c r="AI19" s="16">
        <f>(AH12+AI12)/2*Assumptions!C5</f>
        <v>26690.325837190961</v>
      </c>
      <c r="AJ19" s="16">
        <f>(AI12+AJ12)/2*Assumptions!C5</f>
        <v>30370.375172541459</v>
      </c>
      <c r="AK19" s="16">
        <f>(AJ12+AK12)/2*Assumptions!C5</f>
        <v>34620.441440693743</v>
      </c>
      <c r="AL19" s="16">
        <f t="shared" si="2"/>
        <v>0</v>
      </c>
      <c r="AM19" s="16">
        <f t="shared" si="3"/>
        <v>40490.618173263465</v>
      </c>
      <c r="AN19" s="16">
        <f t="shared" si="4"/>
        <v>226587.6897131803</v>
      </c>
    </row>
    <row r="20" spans="1:41" ht="15" customHeight="1" x14ac:dyDescent="0.2">
      <c r="A20" s="3" t="s">
        <v>68</v>
      </c>
      <c r="B20" s="16">
        <f>0</f>
        <v>0</v>
      </c>
      <c r="C20" s="16">
        <f>0</f>
        <v>0</v>
      </c>
      <c r="D20" s="16">
        <f>0</f>
        <v>0</v>
      </c>
      <c r="E20" s="16">
        <f>0</f>
        <v>0</v>
      </c>
      <c r="F20" s="16">
        <f>0</f>
        <v>0</v>
      </c>
      <c r="G20" s="16">
        <f>G14*Assumptions!C6</f>
        <v>718.2</v>
      </c>
      <c r="H20" s="16">
        <f>H14*Assumptions!C6</f>
        <v>1423.1682637553286</v>
      </c>
      <c r="I20" s="16">
        <f>I14*Assumptions!C6</f>
        <v>2115.1485657634075</v>
      </c>
      <c r="J20" s="16">
        <f>J14*Assumptions!C6</f>
        <v>2794.3801893494883</v>
      </c>
      <c r="K20" s="16">
        <f>K14*Assumptions!C6</f>
        <v>3461.098009409628</v>
      </c>
      <c r="L20" s="16">
        <f>L14*Assumptions!C6</f>
        <v>4115.5325736292525</v>
      </c>
      <c r="M20" s="16">
        <f>M14*Assumptions!C6</f>
        <v>4757.9101822053917</v>
      </c>
      <c r="N20" s="16">
        <f>N14*Assumptions!C7</f>
        <v>9167.6318964761776</v>
      </c>
      <c r="O20" s="16">
        <f>O14*Assumptions!C7</f>
        <v>11155.132304103006</v>
      </c>
      <c r="P20" s="16">
        <f>P14*Assumptions!C7</f>
        <v>13106.016057344015</v>
      </c>
      <c r="Q20" s="16">
        <f>Q14*Assumptions!C7</f>
        <v>15020.957762037408</v>
      </c>
      <c r="R20" s="16">
        <f>R14*Assumptions!C7</f>
        <v>16900.619595440872</v>
      </c>
      <c r="S20" s="16">
        <f>S14*Assumptions!C7</f>
        <v>18745.651535209177</v>
      </c>
      <c r="T20" s="16">
        <f>T14*Assumptions!C7</f>
        <v>20556.691584153192</v>
      </c>
      <c r="U20" s="16">
        <f>U14*Assumptions!C7</f>
        <v>22334.365990858045</v>
      </c>
      <c r="V20" s="16">
        <f>V14*Assumptions!C7</f>
        <v>24079.289466236773</v>
      </c>
      <c r="W20" s="16">
        <f>W14*Assumptions!C7</f>
        <v>25792.065396094276</v>
      </c>
      <c r="X20" s="16">
        <f>X14*Assumptions!C7</f>
        <v>27473.286049775088</v>
      </c>
      <c r="Y20" s="16">
        <f>Y14*Assumptions!C7</f>
        <v>29123.532784967185</v>
      </c>
      <c r="Z20" s="16">
        <f>Z14*Assumptions!C7</f>
        <v>31102.776248732527</v>
      </c>
      <c r="AA20" s="16">
        <f>AA14*Assumptions!C7</f>
        <v>33045.55517967062</v>
      </c>
      <c r="AB20" s="16">
        <f>AB14*Assumptions!C7</f>
        <v>34952.54138101267</v>
      </c>
      <c r="AC20" s="16">
        <f>AC14*Assumptions!C7</f>
        <v>36824.394279043117</v>
      </c>
      <c r="AD20" s="16">
        <f>AD14*Assumptions!C7</f>
        <v>38661.761151125982</v>
      </c>
      <c r="AE20" s="16">
        <f>AE14*Assumptions!C7</f>
        <v>40465.277349530064</v>
      </c>
      <c r="AF20" s="16">
        <f>AF14*Assumptions!C7</f>
        <v>42235.566521130648</v>
      </c>
      <c r="AG20" s="16">
        <f>AG14*Assumptions!C7</f>
        <v>43973.240823063417</v>
      </c>
      <c r="AH20" s="16">
        <f>AH14*Assumptions!C7</f>
        <v>45678.901134405387</v>
      </c>
      <c r="AI20" s="16">
        <f>AI14*Assumptions!C7</f>
        <v>47353.137263955818</v>
      </c>
      <c r="AJ20" s="16">
        <f>AJ14*Assumptions!C7</f>
        <v>48996.528154189189</v>
      </c>
      <c r="AK20" s="16">
        <f>AK14*Assumptions!C7</f>
        <v>50609.642081450598</v>
      </c>
      <c r="AL20" s="16">
        <f t="shared" si="2"/>
        <v>19385.437784112495</v>
      </c>
      <c r="AM20" s="16">
        <f t="shared" si="3"/>
        <v>233455.24042269523</v>
      </c>
      <c r="AN20" s="16">
        <f t="shared" si="4"/>
        <v>493899.32156731008</v>
      </c>
    </row>
    <row r="21" spans="1:41" ht="15" customHeight="1" x14ac:dyDescent="0.2">
      <c r="A21" s="3" t="s">
        <v>69</v>
      </c>
      <c r="B21" s="16">
        <f>0</f>
        <v>0</v>
      </c>
      <c r="C21" s="16">
        <f>0</f>
        <v>0</v>
      </c>
      <c r="D21" s="16">
        <f>Assumptions!C35</f>
        <v>500</v>
      </c>
      <c r="E21" s="16">
        <f>Assumptions!C35</f>
        <v>500</v>
      </c>
      <c r="F21" s="16">
        <f>Assumptions!C35</f>
        <v>500</v>
      </c>
      <c r="G21" s="16">
        <f>Assumptions!C35</f>
        <v>500</v>
      </c>
      <c r="H21" s="16">
        <f>Assumptions!C35</f>
        <v>500</v>
      </c>
      <c r="I21" s="16">
        <f>Assumptions!C35</f>
        <v>500</v>
      </c>
      <c r="J21" s="16">
        <f>Assumptions!C35</f>
        <v>500</v>
      </c>
      <c r="K21" s="16">
        <f>Assumptions!C35</f>
        <v>500</v>
      </c>
      <c r="L21" s="16">
        <f>Assumptions!C35</f>
        <v>500</v>
      </c>
      <c r="M21" s="16">
        <f>Assumptions!C35</f>
        <v>500</v>
      </c>
      <c r="N21" s="16">
        <f>Assumptions!C36</f>
        <v>1000</v>
      </c>
      <c r="O21" s="16">
        <f>Assumptions!C36</f>
        <v>1000</v>
      </c>
      <c r="P21" s="16">
        <f>Assumptions!C36</f>
        <v>1000</v>
      </c>
      <c r="Q21" s="16">
        <f>Assumptions!C36</f>
        <v>1000</v>
      </c>
      <c r="R21" s="16">
        <f>Assumptions!C36</f>
        <v>1000</v>
      </c>
      <c r="S21" s="16">
        <f>Assumptions!C36</f>
        <v>1000</v>
      </c>
      <c r="T21" s="16">
        <f>Assumptions!C36</f>
        <v>1000</v>
      </c>
      <c r="U21" s="16">
        <f>Assumptions!C36</f>
        <v>1000</v>
      </c>
      <c r="V21" s="16">
        <f>Assumptions!C36</f>
        <v>1000</v>
      </c>
      <c r="W21" s="16">
        <f>Assumptions!C36</f>
        <v>1000</v>
      </c>
      <c r="X21" s="16">
        <f>Assumptions!C36</f>
        <v>1000</v>
      </c>
      <c r="Y21" s="16">
        <f>Assumptions!C36</f>
        <v>1000</v>
      </c>
      <c r="Z21" s="16">
        <f>Assumptions!C37</f>
        <v>1500</v>
      </c>
      <c r="AA21" s="16">
        <f>Assumptions!C37</f>
        <v>1500</v>
      </c>
      <c r="AB21" s="16">
        <f>Assumptions!C37</f>
        <v>1500</v>
      </c>
      <c r="AC21" s="16">
        <f>Assumptions!C37</f>
        <v>1500</v>
      </c>
      <c r="AD21" s="16">
        <f>Assumptions!C37</f>
        <v>1500</v>
      </c>
      <c r="AE21" s="16">
        <f>Assumptions!C37</f>
        <v>1500</v>
      </c>
      <c r="AF21" s="16">
        <f>Assumptions!C37</f>
        <v>1500</v>
      </c>
      <c r="AG21" s="16">
        <f>Assumptions!C37</f>
        <v>1500</v>
      </c>
      <c r="AH21" s="16">
        <f>Assumptions!C37</f>
        <v>1500</v>
      </c>
      <c r="AI21" s="16">
        <f>Assumptions!C37</f>
        <v>1500</v>
      </c>
      <c r="AJ21" s="16">
        <f>Assumptions!C37</f>
        <v>1500</v>
      </c>
      <c r="AK21" s="16">
        <f>Assumptions!C37</f>
        <v>1500</v>
      </c>
      <c r="AL21" s="16">
        <f t="shared" si="2"/>
        <v>5000</v>
      </c>
      <c r="AM21" s="16">
        <f t="shared" si="3"/>
        <v>12000</v>
      </c>
      <c r="AN21" s="16">
        <f t="shared" si="4"/>
        <v>18000</v>
      </c>
      <c r="AO21" t="s">
        <v>70</v>
      </c>
    </row>
    <row r="22" spans="1:41" ht="15" customHeight="1" x14ac:dyDescent="0.2">
      <c r="A22" s="3" t="s">
        <v>71</v>
      </c>
      <c r="B22" s="16">
        <f>0</f>
        <v>0</v>
      </c>
      <c r="C22" s="16">
        <f>0</f>
        <v>0</v>
      </c>
      <c r="D22" s="16">
        <f>0</f>
        <v>0</v>
      </c>
      <c r="E22" s="16">
        <f>0</f>
        <v>0</v>
      </c>
      <c r="F22" s="16">
        <f>0</f>
        <v>0</v>
      </c>
      <c r="G22" s="16">
        <f>G13*Assumptions!C39</f>
        <v>450</v>
      </c>
      <c r="H22" s="16">
        <f>H13*Assumptions!C39</f>
        <v>900</v>
      </c>
      <c r="I22" s="16">
        <f>I13*Assumptions!C39</f>
        <v>1350</v>
      </c>
      <c r="J22" s="16">
        <f>J13*Assumptions!C39</f>
        <v>1800</v>
      </c>
      <c r="K22" s="16">
        <f>K13*Assumptions!C39</f>
        <v>2250</v>
      </c>
      <c r="L22" s="16">
        <f>L13*Assumptions!C39</f>
        <v>2700</v>
      </c>
      <c r="M22" s="16">
        <f>M13*Assumptions!C39</f>
        <v>3150</v>
      </c>
      <c r="N22" s="16">
        <f>N13*Assumptions!C39</f>
        <v>4050</v>
      </c>
      <c r="O22" s="16">
        <f>O13*Assumptions!C39</f>
        <v>4950</v>
      </c>
      <c r="P22" s="16">
        <f>P13*Assumptions!C39</f>
        <v>5850</v>
      </c>
      <c r="Q22" s="16">
        <f>Q13*Assumptions!C39</f>
        <v>6750</v>
      </c>
      <c r="R22" s="16">
        <f>R13*Assumptions!C39</f>
        <v>7650</v>
      </c>
      <c r="S22" s="16">
        <f>S13*Assumptions!C39</f>
        <v>8550</v>
      </c>
      <c r="T22" s="16">
        <f>T13*Assumptions!C39</f>
        <v>9450</v>
      </c>
      <c r="U22" s="16">
        <f>U13*Assumptions!C39</f>
        <v>10350</v>
      </c>
      <c r="V22" s="16">
        <f>V13*Assumptions!C39</f>
        <v>11250</v>
      </c>
      <c r="W22" s="16">
        <f>W13*Assumptions!C39</f>
        <v>12150</v>
      </c>
      <c r="X22" s="16">
        <f>X13*Assumptions!C39</f>
        <v>13050</v>
      </c>
      <c r="Y22" s="16">
        <f>Y13*Assumptions!C39</f>
        <v>13950</v>
      </c>
      <c r="Z22" s="16">
        <f>Z13*Assumptions!C39</f>
        <v>15000</v>
      </c>
      <c r="AA22" s="16">
        <f>AA13*Assumptions!C39</f>
        <v>16050</v>
      </c>
      <c r="AB22" s="16">
        <f>AB13*Assumptions!C39</f>
        <v>17100</v>
      </c>
      <c r="AC22" s="16">
        <f>AC13*Assumptions!C39</f>
        <v>18150</v>
      </c>
      <c r="AD22" s="16">
        <f>AD13*Assumptions!C39</f>
        <v>19200</v>
      </c>
      <c r="AE22" s="16">
        <f>AE13*Assumptions!C39</f>
        <v>20250</v>
      </c>
      <c r="AF22" s="16">
        <f>AF13*Assumptions!C39</f>
        <v>21300</v>
      </c>
      <c r="AG22" s="16">
        <f>AG13*Assumptions!C39</f>
        <v>22350</v>
      </c>
      <c r="AH22" s="16">
        <f>AH13*Assumptions!C39</f>
        <v>23400</v>
      </c>
      <c r="AI22" s="16">
        <f>AI13*Assumptions!C39</f>
        <v>24450</v>
      </c>
      <c r="AJ22" s="16">
        <f>AJ13*Assumptions!C39</f>
        <v>25500</v>
      </c>
      <c r="AK22" s="16">
        <f>AK13*Assumptions!C39</f>
        <v>26550</v>
      </c>
      <c r="AL22" s="16">
        <f t="shared" si="2"/>
        <v>12600</v>
      </c>
      <c r="AM22" s="16">
        <f t="shared" si="3"/>
        <v>108000</v>
      </c>
      <c r="AN22" s="16">
        <f t="shared" si="4"/>
        <v>249300</v>
      </c>
    </row>
    <row r="23" spans="1:41" ht="15" customHeight="1" x14ac:dyDescent="0.2">
      <c r="A23" s="3" t="s">
        <v>72</v>
      </c>
      <c r="B23" s="16">
        <f>0</f>
        <v>0</v>
      </c>
      <c r="C23" s="16">
        <f>0</f>
        <v>0</v>
      </c>
      <c r="D23" s="16">
        <f>0</f>
        <v>0</v>
      </c>
      <c r="E23" s="16">
        <f>0</f>
        <v>0</v>
      </c>
      <c r="F23" s="16">
        <f>0</f>
        <v>0</v>
      </c>
      <c r="G23" s="16">
        <f>0</f>
        <v>0</v>
      </c>
      <c r="H23" s="16">
        <f>0</f>
        <v>0</v>
      </c>
      <c r="I23" s="16">
        <f>0</f>
        <v>0</v>
      </c>
      <c r="J23" s="16">
        <f>0</f>
        <v>0</v>
      </c>
      <c r="K23" s="16">
        <f>0</f>
        <v>0</v>
      </c>
      <c r="L23" s="16">
        <f>0</f>
        <v>0</v>
      </c>
      <c r="M23" s="16">
        <f>0</f>
        <v>0</v>
      </c>
      <c r="N23" s="16">
        <f>0</f>
        <v>0</v>
      </c>
      <c r="O23" s="16">
        <f>0</f>
        <v>0</v>
      </c>
      <c r="P23" s="16">
        <f>0</f>
        <v>0</v>
      </c>
      <c r="Q23" s="16">
        <f>0</f>
        <v>0</v>
      </c>
      <c r="R23" s="16">
        <f>0</f>
        <v>0</v>
      </c>
      <c r="S23" s="16">
        <f>0</f>
        <v>0</v>
      </c>
      <c r="T23" s="16">
        <f>0</f>
        <v>0</v>
      </c>
      <c r="U23" s="16">
        <f>0</f>
        <v>0</v>
      </c>
      <c r="V23" s="16">
        <f>0</f>
        <v>0</v>
      </c>
      <c r="W23" s="16">
        <f>0</f>
        <v>0</v>
      </c>
      <c r="X23" s="16">
        <f>0</f>
        <v>0</v>
      </c>
      <c r="Y23" s="16">
        <f>0</f>
        <v>0</v>
      </c>
      <c r="Z23" s="16">
        <f>Assumptions!C38</f>
        <v>0</v>
      </c>
      <c r="AA23" s="16">
        <f>Assumptions!C38</f>
        <v>0</v>
      </c>
      <c r="AB23" s="16">
        <f>Assumptions!C38</f>
        <v>0</v>
      </c>
      <c r="AC23" s="16">
        <f>Assumptions!C38</f>
        <v>0</v>
      </c>
      <c r="AD23" s="16">
        <f>Assumptions!C38</f>
        <v>0</v>
      </c>
      <c r="AE23" s="16">
        <f>Assumptions!C38</f>
        <v>0</v>
      </c>
      <c r="AF23" s="16">
        <f>Assumptions!C38</f>
        <v>0</v>
      </c>
      <c r="AG23" s="16">
        <f>Assumptions!C38</f>
        <v>0</v>
      </c>
      <c r="AH23" s="16">
        <f>Assumptions!C38</f>
        <v>0</v>
      </c>
      <c r="AI23" s="16">
        <f>Assumptions!C38</f>
        <v>0</v>
      </c>
      <c r="AJ23" s="16">
        <f>Assumptions!C38</f>
        <v>0</v>
      </c>
      <c r="AK23" s="16">
        <f>Assumptions!C38</f>
        <v>0</v>
      </c>
      <c r="AL23" s="16">
        <f t="shared" si="2"/>
        <v>0</v>
      </c>
      <c r="AM23" s="16">
        <f t="shared" si="3"/>
        <v>0</v>
      </c>
      <c r="AN23" s="16">
        <f t="shared" si="4"/>
        <v>0</v>
      </c>
    </row>
    <row r="24" spans="1:41" s="38" customFormat="1" ht="15" customHeight="1" x14ac:dyDescent="0.2">
      <c r="A24" s="36" t="s">
        <v>73</v>
      </c>
      <c r="B24" s="37">
        <f t="shared" ref="B24:AK24" si="5">B18+B19+B20+B21+B22+B23</f>
        <v>191.61600000000001</v>
      </c>
      <c r="C24" s="37">
        <f t="shared" si="5"/>
        <v>296.04672000000005</v>
      </c>
      <c r="D24" s="37">
        <f t="shared" si="5"/>
        <v>1015.8590144</v>
      </c>
      <c r="E24" s="37">
        <f t="shared" si="5"/>
        <v>2383.1281983792323</v>
      </c>
      <c r="F24" s="37">
        <f t="shared" si="5"/>
        <v>4803.7101976326358</v>
      </c>
      <c r="G24" s="37">
        <f t="shared" si="5"/>
        <v>8239.606361828286</v>
      </c>
      <c r="H24" s="39">
        <f t="shared" si="5"/>
        <v>11536.009948852719</v>
      </c>
      <c r="I24" s="39">
        <f t="shared" si="5"/>
        <v>14719.257513725315</v>
      </c>
      <c r="J24" s="39">
        <f t="shared" si="5"/>
        <v>17815.599039458633</v>
      </c>
      <c r="K24" s="39">
        <f t="shared" si="5"/>
        <v>20851.672593386975</v>
      </c>
      <c r="L24" s="39">
        <f t="shared" si="5"/>
        <v>23855.014064031406</v>
      </c>
      <c r="M24" s="39">
        <f t="shared" si="5"/>
        <v>26854.613869032146</v>
      </c>
      <c r="N24" s="39">
        <f t="shared" si="5"/>
        <v>35757.989861257214</v>
      </c>
      <c r="O24" s="39">
        <f t="shared" si="5"/>
        <v>42354.901951428394</v>
      </c>
      <c r="P24" s="39">
        <f t="shared" si="5"/>
        <v>49147.01294427945</v>
      </c>
      <c r="Q24" s="39">
        <f t="shared" si="5"/>
        <v>55995.920930740613</v>
      </c>
      <c r="R24" s="39">
        <f t="shared" si="5"/>
        <v>62958.289905998856</v>
      </c>
      <c r="S24" s="39">
        <f t="shared" si="5"/>
        <v>70097.752720050688</v>
      </c>
      <c r="T24" s="39">
        <f t="shared" si="5"/>
        <v>77486.469599821954</v>
      </c>
      <c r="U24" s="39">
        <f t="shared" si="5"/>
        <v>85206.941350235356</v>
      </c>
      <c r="V24" s="39">
        <f t="shared" si="5"/>
        <v>93354.126412491823</v>
      </c>
      <c r="W24" s="39">
        <f t="shared" si="5"/>
        <v>102037.91958666391</v>
      </c>
      <c r="X24" s="39">
        <f t="shared" si="5"/>
        <v>111386.0604556654</v>
      </c>
      <c r="Y24" s="39">
        <f t="shared" si="5"/>
        <v>121535.59818061042</v>
      </c>
      <c r="Z24" s="39">
        <f t="shared" si="5"/>
        <v>134157.69728322257</v>
      </c>
      <c r="AA24" s="39">
        <f t="shared" si="5"/>
        <v>147967.70356804156</v>
      </c>
      <c r="AB24" s="39">
        <f t="shared" si="5"/>
        <v>163237.17534274218</v>
      </c>
      <c r="AC24" s="39">
        <f t="shared" si="5"/>
        <v>180256.70640990062</v>
      </c>
      <c r="AD24" s="39">
        <f t="shared" si="5"/>
        <v>199368.05419436237</v>
      </c>
      <c r="AE24" s="39">
        <f t="shared" si="5"/>
        <v>220973.40415957314</v>
      </c>
      <c r="AF24" s="39">
        <f t="shared" si="5"/>
        <v>245546.29886868832</v>
      </c>
      <c r="AG24" s="39">
        <f t="shared" si="5"/>
        <v>273644.5314971297</v>
      </c>
      <c r="AH24" s="39">
        <f t="shared" si="5"/>
        <v>305925.35755808122</v>
      </c>
      <c r="AI24" s="39">
        <f t="shared" si="5"/>
        <v>343163.44226976123</v>
      </c>
      <c r="AJ24" s="39">
        <f t="shared" si="5"/>
        <v>386272.03612138482</v>
      </c>
      <c r="AK24" s="39">
        <f t="shared" si="5"/>
        <v>436327.95984643576</v>
      </c>
      <c r="AL24" s="37">
        <f t="shared" si="2"/>
        <v>132562.13352072734</v>
      </c>
      <c r="AM24" s="37">
        <f t="shared" si="3"/>
        <v>907318.98389924411</v>
      </c>
      <c r="AN24" s="37">
        <f t="shared" si="4"/>
        <v>3036840.367119323</v>
      </c>
    </row>
    <row r="25" spans="1:41" ht="15" customHeight="1" x14ac:dyDescent="0.2">
      <c r="A25" s="3" t="s">
        <v>74</v>
      </c>
      <c r="B25" s="16">
        <f t="shared" ref="B25:AK25" si="6">B18+B19+B20</f>
        <v>191.61600000000001</v>
      </c>
      <c r="C25" s="16">
        <f t="shared" si="6"/>
        <v>296.04672000000005</v>
      </c>
      <c r="D25" s="16">
        <f t="shared" si="6"/>
        <v>515.85901439999998</v>
      </c>
      <c r="E25" s="16">
        <f t="shared" si="6"/>
        <v>1883.1281983792321</v>
      </c>
      <c r="F25" s="16">
        <f t="shared" si="6"/>
        <v>4303.7101976326358</v>
      </c>
      <c r="G25" s="16">
        <f t="shared" si="6"/>
        <v>7289.606361828286</v>
      </c>
      <c r="H25" s="16">
        <f t="shared" si="6"/>
        <v>10136.009948852719</v>
      </c>
      <c r="I25" s="16">
        <f t="shared" si="6"/>
        <v>12869.257513725315</v>
      </c>
      <c r="J25" s="16">
        <f t="shared" si="6"/>
        <v>15515.599039458633</v>
      </c>
      <c r="K25" s="16">
        <f t="shared" si="6"/>
        <v>18101.672593386975</v>
      </c>
      <c r="L25" s="16">
        <f t="shared" si="6"/>
        <v>20655.014064031406</v>
      </c>
      <c r="M25" s="16">
        <f t="shared" si="6"/>
        <v>23204.613869032146</v>
      </c>
      <c r="N25" s="16">
        <f t="shared" si="6"/>
        <v>30707.989861257211</v>
      </c>
      <c r="O25" s="16">
        <f t="shared" si="6"/>
        <v>36404.901951428394</v>
      </c>
      <c r="P25" s="16">
        <f t="shared" si="6"/>
        <v>42297.01294427945</v>
      </c>
      <c r="Q25" s="16">
        <f t="shared" si="6"/>
        <v>48245.920930740613</v>
      </c>
      <c r="R25" s="16">
        <f t="shared" si="6"/>
        <v>54308.289905998856</v>
      </c>
      <c r="S25" s="16">
        <f t="shared" si="6"/>
        <v>60547.752720050688</v>
      </c>
      <c r="T25" s="16">
        <f t="shared" si="6"/>
        <v>67036.469599821954</v>
      </c>
      <c r="U25" s="16">
        <f t="shared" si="6"/>
        <v>73856.941350235356</v>
      </c>
      <c r="V25" s="16">
        <f t="shared" si="6"/>
        <v>81104.126412491823</v>
      </c>
      <c r="W25" s="16">
        <f t="shared" si="6"/>
        <v>88887.919586663906</v>
      </c>
      <c r="X25" s="16">
        <f t="shared" si="6"/>
        <v>97336.0604556654</v>
      </c>
      <c r="Y25" s="40">
        <f t="shared" si="6"/>
        <v>106585.59818061042</v>
      </c>
      <c r="Z25" s="16">
        <f t="shared" si="6"/>
        <v>117657.69728322259</v>
      </c>
      <c r="AA25" s="16">
        <f t="shared" si="6"/>
        <v>130417.70356804156</v>
      </c>
      <c r="AB25" s="16">
        <f t="shared" si="6"/>
        <v>144637.17534274218</v>
      </c>
      <c r="AC25" s="16">
        <f t="shared" si="6"/>
        <v>160606.70640990062</v>
      </c>
      <c r="AD25" s="16">
        <f t="shared" si="6"/>
        <v>178668.05419436237</v>
      </c>
      <c r="AE25" s="16">
        <f t="shared" si="6"/>
        <v>199223.40415957314</v>
      </c>
      <c r="AF25" s="16">
        <f t="shared" si="6"/>
        <v>222746.29886868832</v>
      </c>
      <c r="AG25" s="16">
        <f t="shared" si="6"/>
        <v>249794.53149712968</v>
      </c>
      <c r="AH25" s="16">
        <f t="shared" si="6"/>
        <v>281025.35755808122</v>
      </c>
      <c r="AI25" s="16">
        <f t="shared" si="6"/>
        <v>317213.44226976123</v>
      </c>
      <c r="AJ25" s="16">
        <f t="shared" si="6"/>
        <v>359272.03612138482</v>
      </c>
      <c r="AK25" s="16">
        <f t="shared" si="6"/>
        <v>408277.95984643576</v>
      </c>
      <c r="AL25" s="16">
        <f>M25</f>
        <v>23204.613869032146</v>
      </c>
      <c r="AM25" s="16">
        <f>Y25</f>
        <v>106585.59818061042</v>
      </c>
      <c r="AN25" s="16">
        <f>AK25</f>
        <v>408277.95984643576</v>
      </c>
      <c r="AO25" t="s">
        <v>75</v>
      </c>
    </row>
    <row r="26" spans="1:41" ht="15" customHeight="1" x14ac:dyDescent="0.2">
      <c r="A26" s="3" t="s">
        <v>76</v>
      </c>
      <c r="B26" s="16">
        <f t="shared" ref="B26:AK26" si="7">B25*12</f>
        <v>2299.3920000000003</v>
      </c>
      <c r="C26" s="16">
        <f t="shared" si="7"/>
        <v>3552.5606400000006</v>
      </c>
      <c r="D26" s="16">
        <f t="shared" si="7"/>
        <v>6190.3081727999997</v>
      </c>
      <c r="E26" s="16">
        <f t="shared" si="7"/>
        <v>22597.538380550784</v>
      </c>
      <c r="F26" s="16">
        <f t="shared" si="7"/>
        <v>51644.522371591629</v>
      </c>
      <c r="G26" s="16">
        <f t="shared" si="7"/>
        <v>87475.276341939432</v>
      </c>
      <c r="H26" s="16">
        <f t="shared" si="7"/>
        <v>121632.11938623263</v>
      </c>
      <c r="I26" s="16">
        <f t="shared" si="7"/>
        <v>154431.09016470378</v>
      </c>
      <c r="J26" s="16">
        <f t="shared" si="7"/>
        <v>186187.1884735036</v>
      </c>
      <c r="K26" s="16">
        <f t="shared" si="7"/>
        <v>217220.0711206437</v>
      </c>
      <c r="L26" s="16">
        <f t="shared" si="7"/>
        <v>247860.16876837687</v>
      </c>
      <c r="M26" s="2">
        <f t="shared" si="7"/>
        <v>278455.36642838572</v>
      </c>
      <c r="N26" s="2">
        <f t="shared" si="7"/>
        <v>368495.87833508651</v>
      </c>
      <c r="O26" s="2">
        <f t="shared" si="7"/>
        <v>436858.82341714075</v>
      </c>
      <c r="P26" s="2">
        <f t="shared" si="7"/>
        <v>507564.15533135342</v>
      </c>
      <c r="Q26" s="2">
        <f t="shared" si="7"/>
        <v>578951.05116888741</v>
      </c>
      <c r="R26" s="2">
        <f t="shared" si="7"/>
        <v>651699.47887198627</v>
      </c>
      <c r="S26" s="2">
        <f t="shared" si="7"/>
        <v>726573.03264060826</v>
      </c>
      <c r="T26" s="2">
        <f t="shared" si="7"/>
        <v>804437.63519786345</v>
      </c>
      <c r="U26" s="2">
        <f t="shared" si="7"/>
        <v>886283.29620282422</v>
      </c>
      <c r="V26" s="2">
        <f t="shared" si="7"/>
        <v>973249.51694990182</v>
      </c>
      <c r="W26" s="2">
        <f t="shared" si="7"/>
        <v>1066655.0350399669</v>
      </c>
      <c r="X26" s="2">
        <f t="shared" si="7"/>
        <v>1168032.7254679848</v>
      </c>
      <c r="Y26" s="2">
        <f t="shared" si="7"/>
        <v>1279027.178167325</v>
      </c>
      <c r="Z26" s="2">
        <f t="shared" si="7"/>
        <v>1411892.3673986711</v>
      </c>
      <c r="AA26" s="2">
        <f t="shared" si="7"/>
        <v>1565012.4428164987</v>
      </c>
      <c r="AB26" s="2">
        <f t="shared" si="7"/>
        <v>1735646.1041129061</v>
      </c>
      <c r="AC26" s="2">
        <f t="shared" si="7"/>
        <v>1927280.4769188075</v>
      </c>
      <c r="AD26" s="2">
        <f t="shared" si="7"/>
        <v>2144016.6503323484</v>
      </c>
      <c r="AE26" s="2">
        <f t="shared" si="7"/>
        <v>2390680.8499148777</v>
      </c>
      <c r="AF26" s="2">
        <f t="shared" si="7"/>
        <v>2672955.5864242599</v>
      </c>
      <c r="AG26" s="2">
        <f t="shared" si="7"/>
        <v>2997534.377965556</v>
      </c>
      <c r="AH26" s="2">
        <f t="shared" si="7"/>
        <v>3372304.2906969748</v>
      </c>
      <c r="AI26" s="2">
        <f t="shared" si="7"/>
        <v>3806561.3072371348</v>
      </c>
      <c r="AJ26" s="2">
        <f t="shared" si="7"/>
        <v>4311264.4334566183</v>
      </c>
      <c r="AK26" s="2">
        <f t="shared" si="7"/>
        <v>4899335.5181572288</v>
      </c>
      <c r="AL26" s="16">
        <f>M26</f>
        <v>278455.36642838572</v>
      </c>
      <c r="AM26" s="16">
        <f>Y26</f>
        <v>1279027.178167325</v>
      </c>
      <c r="AN26" s="16">
        <f>AK26</f>
        <v>4899335.5181572288</v>
      </c>
    </row>
    <row r="28" spans="1:41" ht="15" customHeight="1" x14ac:dyDescent="0.2">
      <c r="A28" s="30" t="s">
        <v>77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</row>
    <row r="29" spans="1:41" ht="15" customHeight="1" x14ac:dyDescent="0.2">
      <c r="A29" s="3" t="s">
        <v>78</v>
      </c>
      <c r="B29" s="16">
        <f>SUM(B18:B18)+SUM(B19:B19)</f>
        <v>191.61600000000001</v>
      </c>
      <c r="C29" s="16">
        <f>SUM(B18:C18)+SUM(B19:C19)</f>
        <v>487.66272000000004</v>
      </c>
      <c r="D29" s="16">
        <f>SUM(B18:D18)+SUM(B19:D19)</f>
        <v>1003.5217344</v>
      </c>
      <c r="E29" s="16">
        <f>SUM(B18:E18)+SUM(B19:E19)</f>
        <v>2886.6499327792321</v>
      </c>
      <c r="F29" s="16">
        <f>SUM(B18:F18)+SUM(B19:F19)</f>
        <v>7190.3601304118674</v>
      </c>
      <c r="G29" s="16">
        <f>SUM(B18:G18)+SUM(B19:G19)</f>
        <v>13761.766492240153</v>
      </c>
      <c r="H29" s="16">
        <f>SUM(B18:H18)+SUM(B19:H19)</f>
        <v>22474.608177337541</v>
      </c>
      <c r="I29" s="16">
        <f>SUM(B18:I18)+SUM(B19:I19)</f>
        <v>33228.717125299445</v>
      </c>
      <c r="J29" s="16">
        <f>SUM(B18:J18)+SUM(B19:J19)</f>
        <v>45949.935975408589</v>
      </c>
      <c r="K29" s="16">
        <f>SUM(B18:K18)+SUM(B19:K19)</f>
        <v>60590.510559385933</v>
      </c>
      <c r="L29" s="16">
        <f>SUM(B18:L18)+SUM(B19:L19)</f>
        <v>77129.992049788081</v>
      </c>
      <c r="M29" s="16">
        <f t="shared" ref="M29:AK29" si="8">SUM(B18:M18)+SUM(B19:M19)</f>
        <v>95576.695736614842</v>
      </c>
      <c r="N29" s="16">
        <f t="shared" si="8"/>
        <v>116925.43770139587</v>
      </c>
      <c r="O29" s="16">
        <f t="shared" si="8"/>
        <v>141879.16062872126</v>
      </c>
      <c r="P29" s="16">
        <f t="shared" si="8"/>
        <v>170554.29850125671</v>
      </c>
      <c r="Q29" s="16">
        <f t="shared" si="8"/>
        <v>201896.13347158069</v>
      </c>
      <c r="R29" s="16">
        <f t="shared" si="8"/>
        <v>235000.09358450604</v>
      </c>
      <c r="S29" s="16">
        <f t="shared" si="8"/>
        <v>270230.78840751923</v>
      </c>
      <c r="T29" s="16">
        <f t="shared" si="8"/>
        <v>307997.72473809065</v>
      </c>
      <c r="U29" s="16">
        <f t="shared" si="8"/>
        <v>348766.19114950608</v>
      </c>
      <c r="V29" s="16">
        <f t="shared" si="8"/>
        <v>393069.809245652</v>
      </c>
      <c r="W29" s="16">
        <f t="shared" si="8"/>
        <v>441525.0888522442</v>
      </c>
      <c r="X29" s="16">
        <f t="shared" si="8"/>
        <v>494848.38176773227</v>
      </c>
      <c r="Y29" s="16">
        <f t="shared" si="8"/>
        <v>553863.74347654881</v>
      </c>
      <c r="Z29" s="16">
        <f t="shared" si="8"/>
        <v>618878.30654625781</v>
      </c>
      <c r="AA29" s="16">
        <f t="shared" si="8"/>
        <v>691000.68528730341</v>
      </c>
      <c r="AB29" s="16">
        <f t="shared" si="8"/>
        <v>771494.32236209745</v>
      </c>
      <c r="AC29" s="16">
        <f t="shared" si="8"/>
        <v>862051.67132425169</v>
      </c>
      <c r="AD29" s="16">
        <f t="shared" si="8"/>
        <v>964650.29405693023</v>
      </c>
      <c r="AE29" s="16">
        <f t="shared" si="8"/>
        <v>1081606.3196821318</v>
      </c>
      <c r="AF29" s="16">
        <f t="shared" si="8"/>
        <v>1215637.2740140206</v>
      </c>
      <c r="AG29" s="16">
        <f t="shared" si="8"/>
        <v>1369935.9893287097</v>
      </c>
      <c r="AH29" s="16">
        <f t="shared" si="8"/>
        <v>1548257.6088061305</v>
      </c>
      <c r="AI29" s="16">
        <f t="shared" si="8"/>
        <v>1755022.0596213662</v>
      </c>
      <c r="AJ29" s="16">
        <f t="shared" si="8"/>
        <v>1995434.7931826715</v>
      </c>
      <c r="AK29" s="16">
        <f t="shared" si="8"/>
        <v>2275641.0455520134</v>
      </c>
    </row>
    <row r="30" spans="1:41" ht="15" customHeight="1" x14ac:dyDescent="0.2">
      <c r="A30" s="3" t="s">
        <v>79</v>
      </c>
      <c r="B30" s="16">
        <f>IF(B29&lt;Assumptions!C43,(B18+B19)*Assumptions!C41,(B18+B19)*Assumptions!C42)</f>
        <v>28.7424</v>
      </c>
      <c r="C30" s="16">
        <f>IF(C29&lt;Assumptions!C43,(C18+C19)*Assumptions!C41,(C18+C19)*Assumptions!C42)</f>
        <v>44.407008000000005</v>
      </c>
      <c r="D30" s="16">
        <f>IF(D29&lt;Assumptions!C43,(D18+D19)*Assumptions!C41,(D18+D19)*Assumptions!C42)</f>
        <v>77.378852159999994</v>
      </c>
      <c r="E30" s="16">
        <f>IF(E29&lt;Assumptions!C43,(E18+E19)*Assumptions!C41,(E18+E19)*Assumptions!C42)</f>
        <v>282.46922975688483</v>
      </c>
      <c r="F30" s="16">
        <f>IF(F29&lt;Assumptions!C43,(F18+F19)*Assumptions!C41,(F18+F19)*Assumptions!C42)</f>
        <v>645.55652964489536</v>
      </c>
      <c r="G30" s="16">
        <f>IF(G29&lt;Assumptions!C43,(G18+G19)*Assumptions!C41,(G18+G19)*Assumptions!C42)</f>
        <v>985.71095427424291</v>
      </c>
      <c r="H30" s="16">
        <f>IF(H29&lt;Assumptions!C43,(H18+H19)*Assumptions!C41,(H18+H19)*Assumptions!C42)</f>
        <v>1306.9262527646085</v>
      </c>
      <c r="I30" s="16">
        <f>IF(I29&lt;Assumptions!C43,(I18+I19)*Assumptions!C41,(I18+I19)*Assumptions!C42)</f>
        <v>1613.1163421942861</v>
      </c>
      <c r="J30" s="16">
        <f>IF(J29&lt;Assumptions!C43,(J18+J19)*Assumptions!C41,(J18+J19)*Assumptions!C42)</f>
        <v>1908.1828275163718</v>
      </c>
      <c r="K30" s="16">
        <f>IF(K29&lt;Assumptions!C43,(K18+K19)*Assumptions!C41,(K18+K19)*Assumptions!C42)</f>
        <v>2196.086187596602</v>
      </c>
      <c r="L30" s="16">
        <f>IF(L29&lt;Assumptions!C43,(L18+L19)*Assumptions!C41,(L18+L19)*Assumptions!C42)</f>
        <v>2480.9222235603224</v>
      </c>
      <c r="M30" s="16">
        <f>IF(M29&lt;Assumptions!C43,(M18+M19)*Assumptions!C41,(M18+M19)*Assumptions!C42)</f>
        <v>2767.0055530240129</v>
      </c>
      <c r="N30" s="16">
        <f>IF(N29&lt;Assumptions!C43,(N18+N19)*Assumptions!C41,(N18+N19)*Assumptions!C42)</f>
        <v>3231.0536947171549</v>
      </c>
      <c r="O30" s="16">
        <f>IF(O29&lt;Assumptions!C43,(O18+O19)*Assumptions!C41,(O18+O19)*Assumptions!C42)</f>
        <v>3787.4654470988075</v>
      </c>
      <c r="P30" s="16">
        <f>IF(P29&lt;Assumptions!C43,(P18+P19)*Assumptions!C41,(P18+P19)*Assumptions!C42)</f>
        <v>4378.649533040315</v>
      </c>
      <c r="Q30" s="16">
        <f>IF(Q29&lt;Assumptions!C43,(Q18+Q19)*Assumptions!C41,(Q18+Q19)*Assumptions!C42)</f>
        <v>4983.7444753054815</v>
      </c>
      <c r="R30" s="16">
        <f>IF(R29&lt;Assumptions!C43,(R18+R19)*Assumptions!C41,(R18+R19)*Assumptions!C42)</f>
        <v>5611.1505465836981</v>
      </c>
      <c r="S30" s="16">
        <f>IF(S29&lt;Assumptions!C43,(S18+S19)*Assumptions!C41,(S18+S19)*Assumptions!C42)</f>
        <v>6270.3151777262256</v>
      </c>
      <c r="T30" s="16">
        <f>IF(T29&lt;Assumptions!C43,(T18+T19)*Assumptions!C41,(T18+T19)*Assumptions!C42)</f>
        <v>6971.9667023503143</v>
      </c>
      <c r="U30" s="16">
        <f>IF(U29&lt;Assumptions!C43,(U18+U19)*Assumptions!C41,(U18+U19)*Assumptions!C42)</f>
        <v>7728.3863039065964</v>
      </c>
      <c r="V30" s="16">
        <f>IF(V29&lt;Assumptions!C43,(V18+V19)*Assumptions!C41,(V18+V19)*Assumptions!C42)</f>
        <v>8553.7255419382564</v>
      </c>
      <c r="W30" s="16">
        <f>IF(W29&lt;Assumptions!C43,(W18+W19)*Assumptions!C41,(W18+W19)*Assumptions!C42)</f>
        <v>9464.3781285854438</v>
      </c>
      <c r="X30" s="16">
        <f>IF(X29&lt;Assumptions!C43,(X18+X19)*Assumptions!C41,(X18+X19)*Assumptions!C42)</f>
        <v>10479.416160883546</v>
      </c>
      <c r="Y30" s="16">
        <f>IF(Y29&lt;Assumptions!C43,(Y18+Y19)*Assumptions!C41,(Y18+Y19)*Assumptions!C42)</f>
        <v>11619.309809346485</v>
      </c>
      <c r="Z30" s="16">
        <f>IF(Z29&lt;Assumptions!C43,(Z18+Z19)*Assumptions!C41,(Z18+Z19)*Assumptions!C42)</f>
        <v>12983.238155173509</v>
      </c>
      <c r="AA30" s="16">
        <f>IF(AA29&lt;Assumptions!C43,(AA18+AA19)*Assumptions!C41,(AA18+AA19)*Assumptions!C42)</f>
        <v>14605.822258255641</v>
      </c>
      <c r="AB30" s="16">
        <f>IF(AB29&lt;Assumptions!C43,(AB18+AB19)*Assumptions!C41,(AB18+AB19)*Assumptions!C42)</f>
        <v>16452.695094259427</v>
      </c>
      <c r="AC30" s="16">
        <f>IF(AC29&lt;Assumptions!C43,(AC18+AC19)*Assumptions!C41,(AC18+AC19)*Assumptions!C42)</f>
        <v>18567.346819628627</v>
      </c>
      <c r="AD30" s="16">
        <f>IF(AD29&lt;Assumptions!C43,(AD18+AD19)*Assumptions!C41,(AD18+AD19)*Assumptions!C42)</f>
        <v>42001.887912970917</v>
      </c>
      <c r="AE30" s="16">
        <f>IF(AE29&lt;Assumptions!C43,(AE18+AE19)*Assumptions!C41,(AE18+AE19)*Assumptions!C42)</f>
        <v>47627.438043012917</v>
      </c>
      <c r="AF30" s="16">
        <f>IF(AF29&lt;Assumptions!C43,(AF18+AF19)*Assumptions!C41,(AF18+AF19)*Assumptions!C42)</f>
        <v>54153.2197042673</v>
      </c>
      <c r="AG30" s="16">
        <f>IF(AG29&lt;Assumptions!C43,(AG18+AG19)*Assumptions!C41,(AG18+AG19)*Assumptions!C42)</f>
        <v>61746.387202219878</v>
      </c>
      <c r="AH30" s="16">
        <f>IF(AH29&lt;Assumptions!C43,(AH18+AH19)*Assumptions!C41,(AH18+AH19)*Assumptions!C42)</f>
        <v>70603.936927102754</v>
      </c>
      <c r="AI30" s="16">
        <f>IF(AI29&lt;Assumptions!C43,(AI18+AI19)*Assumptions!C41,(AI18+AI19)*Assumptions!C42)</f>
        <v>80958.091501741612</v>
      </c>
      <c r="AJ30" s="16">
        <f>IF(AJ29&lt;Assumptions!C43,(AJ18+AJ19)*Assumptions!C41,(AJ18+AJ19)*Assumptions!C42)</f>
        <v>93082.652390158692</v>
      </c>
      <c r="AK30" s="16">
        <f>IF(AK29&lt;Assumptions!C43,(AK18+AK19)*Assumptions!C41,(AK18+AK19)*Assumptions!C42)</f>
        <v>107300.49532949553</v>
      </c>
      <c r="AL30" s="16">
        <f t="shared" ref="AL30:AL42" si="9">SUM(B30:M30)</f>
        <v>14336.504360492228</v>
      </c>
      <c r="AM30" s="16">
        <f t="shared" ref="AM30:AM42" si="10">SUM(N30:Y30)</f>
        <v>83079.561521482319</v>
      </c>
      <c r="AN30" s="16">
        <f t="shared" ref="AN30:AN42" si="11">SUM(Z30:AK30)</f>
        <v>620083.21133828675</v>
      </c>
      <c r="AO30" t="s">
        <v>80</v>
      </c>
    </row>
    <row r="31" spans="1:41" ht="15" customHeight="1" x14ac:dyDescent="0.2">
      <c r="A31" s="3" t="s">
        <v>81</v>
      </c>
      <c r="B31" s="16">
        <f>B20*Assumptions!C44</f>
        <v>0</v>
      </c>
      <c r="C31" s="16">
        <f>C20*Assumptions!C44</f>
        <v>0</v>
      </c>
      <c r="D31" s="16">
        <f>D20*Assumptions!C44</f>
        <v>0</v>
      </c>
      <c r="E31" s="16">
        <f>E20*Assumptions!C44</f>
        <v>0</v>
      </c>
      <c r="F31" s="16">
        <f>F20*Assumptions!C44</f>
        <v>0</v>
      </c>
      <c r="G31" s="16">
        <f>G20*Assumptions!C44</f>
        <v>10.0548</v>
      </c>
      <c r="H31" s="16">
        <f>H20*Assumptions!C44</f>
        <v>19.924355692574601</v>
      </c>
      <c r="I31" s="16">
        <f>I20*Assumptions!C44</f>
        <v>29.612079920687705</v>
      </c>
      <c r="J31" s="16">
        <f>J20*Assumptions!C44</f>
        <v>39.121322650892836</v>
      </c>
      <c r="K31" s="16">
        <f>K20*Assumptions!C44</f>
        <v>48.455372131734791</v>
      </c>
      <c r="L31" s="16">
        <f>L20*Assumptions!C44</f>
        <v>57.617456030809535</v>
      </c>
      <c r="M31" s="16">
        <f>M20*Assumptions!C44</f>
        <v>66.610742550875486</v>
      </c>
      <c r="N31" s="16">
        <f>N20*Assumptions!C44</f>
        <v>128.3468465506665</v>
      </c>
      <c r="O31" s="16">
        <f>O20*Assumptions!C44</f>
        <v>156.17185225744208</v>
      </c>
      <c r="P31" s="16">
        <f>P20*Assumptions!C44</f>
        <v>183.48422480281621</v>
      </c>
      <c r="Q31" s="16">
        <f>Q20*Assumptions!C44</f>
        <v>210.29340866852371</v>
      </c>
      <c r="R31" s="16">
        <f>R20*Assumptions!C44</f>
        <v>236.60867433617221</v>
      </c>
      <c r="S31" s="16">
        <f>S20*Assumptions!C44</f>
        <v>262.43912149292851</v>
      </c>
      <c r="T31" s="16">
        <f>T20*Assumptions!C44</f>
        <v>287.79368217814471</v>
      </c>
      <c r="U31" s="16">
        <f>U20*Assumptions!C44</f>
        <v>312.68112387201262</v>
      </c>
      <c r="V31" s="16">
        <f>V20*Assumptions!C44</f>
        <v>337.11005252731485</v>
      </c>
      <c r="W31" s="16">
        <f>W20*Assumptions!C44</f>
        <v>361.08891554531988</v>
      </c>
      <c r="X31" s="16">
        <f>X20*Assumptions!C44</f>
        <v>384.62600469685123</v>
      </c>
      <c r="Y31" s="16">
        <f>Y20*Assumptions!C44</f>
        <v>407.7294589895406</v>
      </c>
      <c r="Z31" s="16">
        <f>Z20*Assumptions!C44</f>
        <v>435.43886748225538</v>
      </c>
      <c r="AA31" s="16">
        <f>AA20*Assumptions!C44</f>
        <v>462.63777251538869</v>
      </c>
      <c r="AB31" s="16">
        <f>AB20*Assumptions!C44</f>
        <v>489.3355793341774</v>
      </c>
      <c r="AC31" s="16">
        <f>AC20*Assumptions!C44</f>
        <v>515.54151990660364</v>
      </c>
      <c r="AD31" s="16">
        <f>AD20*Assumptions!C44</f>
        <v>541.26465611576373</v>
      </c>
      <c r="AE31" s="16">
        <f>AE20*Assumptions!C44</f>
        <v>566.51388289342094</v>
      </c>
      <c r="AF31" s="16">
        <f>AF20*Assumptions!C44</f>
        <v>591.29793129582913</v>
      </c>
      <c r="AG31" s="16">
        <f>AG20*Assumptions!C44</f>
        <v>615.6253715228878</v>
      </c>
      <c r="AH31" s="16">
        <f>AH20*Assumptions!C44</f>
        <v>639.50461588167548</v>
      </c>
      <c r="AI31" s="16">
        <f>AI20*Assumptions!C44</f>
        <v>662.9439216953815</v>
      </c>
      <c r="AJ31" s="16">
        <f>AJ20*Assumptions!C44</f>
        <v>685.95139415864867</v>
      </c>
      <c r="AK31" s="16">
        <f>AK20*Assumptions!C44</f>
        <v>708.53498914030843</v>
      </c>
      <c r="AL31" s="16">
        <f t="shared" si="9"/>
        <v>271.39612897757496</v>
      </c>
      <c r="AM31" s="16">
        <f t="shared" si="10"/>
        <v>3268.3733659177333</v>
      </c>
      <c r="AN31" s="16">
        <f t="shared" si="11"/>
        <v>6914.5905019423408</v>
      </c>
    </row>
    <row r="32" spans="1:41" ht="15" customHeight="1" x14ac:dyDescent="0.2">
      <c r="A32" s="3" t="s">
        <v>82</v>
      </c>
      <c r="B32" s="16">
        <f>0</f>
        <v>0</v>
      </c>
      <c r="C32" s="16">
        <f>0</f>
        <v>0</v>
      </c>
      <c r="D32" s="16">
        <f>0</f>
        <v>0</v>
      </c>
      <c r="E32" s="16">
        <f>0</f>
        <v>0</v>
      </c>
      <c r="F32" s="16">
        <f>0</f>
        <v>0</v>
      </c>
      <c r="G32" s="16">
        <f>MIN(Assumptions!C48,Assumptions!C46+(G15/500)*Assumptions!C47)</f>
        <v>571.71559391482492</v>
      </c>
      <c r="H32" s="16">
        <f>MIN(Assumptions!C48,Assumptions!C46+(H15/500)*Assumptions!C47)</f>
        <v>631.16487520997237</v>
      </c>
      <c r="I32" s="16">
        <f>MIN(Assumptions!C48,Assumptions!C46+(I15/500)*Assumptions!C47)</f>
        <v>688.54115531742082</v>
      </c>
      <c r="J32" s="16">
        <f>MIN(Assumptions!C48,Assumptions!C46+(J15/500)*Assumptions!C47)</f>
        <v>744.37316913039376</v>
      </c>
      <c r="K32" s="16">
        <f>MIN(Assumptions!C48,Assumptions!C46+(K15/500)*Assumptions!C47)</f>
        <v>799.20230960626373</v>
      </c>
      <c r="L32" s="16">
        <f>MIN(Assumptions!C48,Assumptions!C46+(L15/500)*Assumptions!C47)</f>
        <v>853.59325095231304</v>
      </c>
      <c r="M32" s="16">
        <f>MIN(Assumptions!C48,Assumptions!C46+(M15/500)*Assumptions!C47)</f>
        <v>908.14563922147988</v>
      </c>
      <c r="N32" s="16">
        <f>MIN(Assumptions!C48,Assumptions!C46+(N15/500)*Assumptions!C47)</f>
        <v>1015.2211297650083</v>
      </c>
      <c r="O32" s="16">
        <f>MIN(Assumptions!C48,Assumptions!C46+(O15/500)*Assumptions!C47)</f>
        <v>1121.3845235676476</v>
      </c>
      <c r="P32" s="16">
        <f>MIN(Assumptions!C48,Assumptions!C46+(P15/500)*Assumptions!C47)</f>
        <v>1227.6412040581577</v>
      </c>
      <c r="Q32" s="16">
        <f>MIN(Assumptions!C48,Assumptions!C46+(Q15/500)*Assumptions!C47)</f>
        <v>1335.0831642313842</v>
      </c>
      <c r="R32" s="16">
        <f>MIN(Assumptions!C48,Assumptions!C46+(R15/500)*Assumptions!C47)</f>
        <v>1444.9136383941182</v>
      </c>
      <c r="S32" s="16">
        <f>MIN(Assumptions!C48,Assumptions!C46+(S15/500)*Assumptions!C47)</f>
        <v>1558.4753340264376</v>
      </c>
      <c r="T32" s="16">
        <f>MIN(Assumptions!C48,Assumptions!C46+(T15/500)*Assumptions!C47)</f>
        <v>1677.2830068731823</v>
      </c>
      <c r="U32" s="16">
        <f>MIN(Assumptions!C48,Assumptions!C46+(U15/500)*Assumptions!C47)</f>
        <v>1803.0612480780442</v>
      </c>
      <c r="V32" s="16">
        <f>MIN(Assumptions!C48,Assumptions!C46+(V15/500)*Assumptions!C47)</f>
        <v>1937.7885017108817</v>
      </c>
      <c r="W32" s="16">
        <f>MIN(Assumptions!C48,Assumptions!C46+(W15/500)*Assumptions!C47)</f>
        <v>2083.7485086400939</v>
      </c>
      <c r="X32" s="16">
        <f>MIN(Assumptions!C48,Assumptions!C46+(X15/500)*Assumptions!C47)</f>
        <v>2243.5905833687057</v>
      </c>
      <c r="Y32" s="16">
        <f>MIN(Assumptions!C48,Assumptions!C46+(Y15/500)*Assumptions!C47)</f>
        <v>2419.9212824941214</v>
      </c>
      <c r="Z32" s="16">
        <f>MIN(Assumptions!C48,Assumptions!C46+(Z15/500)*Assumptions!C47)</f>
        <v>2642.3687885860995</v>
      </c>
      <c r="AA32" s="16">
        <f>MIN(Assumptions!C48,Assumptions!C46+(AA15/500)*Assumptions!C47)</f>
        <v>2889.8771236373577</v>
      </c>
      <c r="AB32" s="16">
        <f>MIN(Assumptions!C48,Assumptions!C46+(AB15/500)*Assumptions!C47)</f>
        <v>3167.5661729085173</v>
      </c>
      <c r="AC32" s="16">
        <f>MIN(Assumptions!C48,Assumptions!C46+(AC15/500)*Assumptions!C47)</f>
        <v>3481.4455715816753</v>
      </c>
      <c r="AD32" s="16">
        <f>MIN(Assumptions!C48,Assumptions!C46+(AD15/500)*Assumptions!C47)</f>
        <v>3500</v>
      </c>
      <c r="AE32" s="16">
        <f>MIN(Assumptions!C48,Assumptions!C46+(AE15/500)*Assumptions!C47)</f>
        <v>3500</v>
      </c>
      <c r="AF32" s="16">
        <f>MIN(Assumptions!C48,Assumptions!C46+(AF15/500)*Assumptions!C47)</f>
        <v>3500</v>
      </c>
      <c r="AG32" s="16">
        <f>MIN(Assumptions!C48,Assumptions!C46+(AG15/500)*Assumptions!C47)</f>
        <v>3500</v>
      </c>
      <c r="AH32" s="16">
        <f>MIN(Assumptions!C48,Assumptions!C46+(AH15/500)*Assumptions!C47)</f>
        <v>3500</v>
      </c>
      <c r="AI32" s="16">
        <f>MIN(Assumptions!C48,Assumptions!C46+(AI15/500)*Assumptions!C47)</f>
        <v>3500</v>
      </c>
      <c r="AJ32" s="16">
        <f>MIN(Assumptions!C48,Assumptions!C46+(AJ15/500)*Assumptions!C47)</f>
        <v>3500</v>
      </c>
      <c r="AK32" s="16">
        <f>MIN(Assumptions!C48,Assumptions!C46+(AK15/500)*Assumptions!C47)</f>
        <v>3500</v>
      </c>
      <c r="AL32" s="16">
        <f t="shared" si="9"/>
        <v>5196.7359933526677</v>
      </c>
      <c r="AM32" s="16">
        <f t="shared" si="10"/>
        <v>19868.112125207783</v>
      </c>
      <c r="AN32" s="16">
        <f t="shared" si="11"/>
        <v>40181.257656713649</v>
      </c>
    </row>
    <row r="33" spans="1:41" ht="15" customHeight="1" x14ac:dyDescent="0.2">
      <c r="A33" s="3" t="s">
        <v>83</v>
      </c>
      <c r="B33" s="16">
        <f>80</f>
        <v>80</v>
      </c>
      <c r="C33" s="16">
        <f>80</f>
        <v>80</v>
      </c>
      <c r="D33" s="16">
        <f>MIN(Assumptions!C71,Assumptions!C69+(D15/400)*Assumptions!C70)</f>
        <v>647.43791999999996</v>
      </c>
      <c r="E33" s="16">
        <f>MIN(Assumptions!C71,Assumptions!C69+(E15/400)*Assumptions!C70)</f>
        <v>835.59738035760006</v>
      </c>
      <c r="F33" s="16">
        <f>MIN(Assumptions!C71,Assumptions!C69+(F15/400)*Assumptions!C70)</f>
        <v>1011.2528497475057</v>
      </c>
      <c r="G33" s="16">
        <f>MIN(Assumptions!C71,Assumptions!C69+(G15/400)*Assumptions!C70)</f>
        <v>1243.9334771805934</v>
      </c>
      <c r="H33" s="16">
        <f>MIN(Assumptions!C71,Assumptions!C69+(H15/400)*Assumptions!C70)</f>
        <v>1466.8682820373965</v>
      </c>
      <c r="I33" s="16">
        <f>MIN(Assumptions!C71,Assumptions!C69+(I15/400)*Assumptions!C70)</f>
        <v>1682.0293324403283</v>
      </c>
      <c r="J33" s="16">
        <f>MIN(Assumptions!C71,Assumptions!C69+(J15/400)*Assumptions!C70)</f>
        <v>1891.3993842389764</v>
      </c>
      <c r="K33" s="16">
        <f>MIN(Assumptions!C71,Assumptions!C69+(K15/400)*Assumptions!C70)</f>
        <v>2097.0086610234889</v>
      </c>
      <c r="L33" s="16">
        <f>MIN(Assumptions!C71,Assumptions!C69+(L15/400)*Assumptions!C70)</f>
        <v>2300.9746910711738</v>
      </c>
      <c r="M33" s="16">
        <f>MIN(Assumptions!C71,Assumptions!C69+(M15/400)*Assumptions!C70)</f>
        <v>2505.5461470805494</v>
      </c>
      <c r="N33" s="16">
        <f>MIN(Assumptions!C71,Assumptions!C69+(N15/400)*Assumptions!C70)</f>
        <v>2907.0792366187811</v>
      </c>
      <c r="O33" s="16">
        <f>MIN(Assumptions!C71,Assumptions!C69+(O15/400)*Assumptions!C70)</f>
        <v>3305.1919633786779</v>
      </c>
      <c r="P33" s="16">
        <f>MIN(Assumptions!C71,Assumptions!C69+(P15/400)*Assumptions!C70)</f>
        <v>3703.6545152180911</v>
      </c>
      <c r="Q33" s="16">
        <f>MIN(Assumptions!C71,Assumptions!C69+(Q15/400)*Assumptions!C70)</f>
        <v>4106.5618658676904</v>
      </c>
      <c r="R33" s="16">
        <f>MIN(Assumptions!C71,Assumptions!C69+(R15/400)*Assumptions!C70)</f>
        <v>4518.426143977943</v>
      </c>
      <c r="S33" s="16">
        <f>MIN(Assumptions!C71,Assumptions!C69+(S15/400)*Assumptions!C70)</f>
        <v>4944.2825025991415</v>
      </c>
      <c r="T33" s="16">
        <f>MIN(Assumptions!C71,Assumptions!C69+(T15/400)*Assumptions!C70)</f>
        <v>5389.8112757744339</v>
      </c>
      <c r="U33" s="16">
        <f>MIN(Assumptions!C71,Assumptions!C69+(U15/400)*Assumptions!C70)</f>
        <v>5861.4796802926649</v>
      </c>
      <c r="V33" s="16">
        <f>MIN(Assumptions!C71,Assumptions!C69+(V15/400)*Assumptions!C70)</f>
        <v>6366.7068814158056</v>
      </c>
      <c r="W33" s="16">
        <f>MIN(Assumptions!C71,Assumptions!C69+(W15/400)*Assumptions!C70)</f>
        <v>6914.0569074003506</v>
      </c>
      <c r="X33" s="16">
        <f>MIN(Assumptions!C71,Assumptions!C69+(X15/400)*Assumptions!C70)</f>
        <v>7513.4646876326469</v>
      </c>
      <c r="Y33" s="16">
        <f>MIN(Assumptions!C71,Assumptions!C69+(Y15/400)*Assumptions!C70)</f>
        <v>8174.7048093529556</v>
      </c>
      <c r="Z33" s="16">
        <f>MIN(Assumptions!C71,Assumptions!C69+(Z15/400)*Assumptions!C70)</f>
        <v>9008.8829571978731</v>
      </c>
      <c r="AA33" s="16">
        <f>MIN(Assumptions!C71,Assumptions!C69+(AA15/400)*Assumptions!C70)</f>
        <v>9937.0392136400915</v>
      </c>
      <c r="AB33" s="16">
        <f>MIN(Assumptions!C71,Assumptions!C69+(AB15/400)*Assumptions!C70)</f>
        <v>10978.373148406938</v>
      </c>
      <c r="AC33" s="16">
        <f>MIN(Assumptions!C71,Assumptions!C69+(AC15/400)*Assumptions!C70)</f>
        <v>12155.420893431281</v>
      </c>
      <c r="AD33" s="16">
        <f>MIN(Assumptions!C71,Assumptions!C69+(AD15/400)*Assumptions!C70)</f>
        <v>13494.662837332777</v>
      </c>
      <c r="AE33" s="16">
        <f>MIN(Assumptions!C71,Assumptions!C69+(AE15/400)*Assumptions!C70)</f>
        <v>15027.240255804951</v>
      </c>
      <c r="AF33" s="16">
        <f>MIN(Assumptions!C71,Assumptions!C69+(AF15/400)*Assumptions!C70)</f>
        <v>16789.800515463652</v>
      </c>
      <c r="AG33" s="16">
        <f>MIN(Assumptions!C71,Assumptions!C69+(AG15/400)*Assumptions!C70)</f>
        <v>18000</v>
      </c>
      <c r="AH33" s="16">
        <f>MIN(Assumptions!C71,Assumptions!C69+(AH15/400)*Assumptions!C70)</f>
        <v>18000</v>
      </c>
      <c r="AI33" s="16">
        <f>MIN(Assumptions!C71,Assumptions!C69+(AI15/400)*Assumptions!C70)</f>
        <v>18000</v>
      </c>
      <c r="AJ33" s="16">
        <f>MIN(Assumptions!C71,Assumptions!C69+(AJ15/400)*Assumptions!C70)</f>
        <v>18000</v>
      </c>
      <c r="AK33" s="16">
        <f>MIN(Assumptions!C71,Assumptions!C69+(AK15/400)*Assumptions!C70)</f>
        <v>18000</v>
      </c>
      <c r="AL33" s="16">
        <f t="shared" si="9"/>
        <v>15842.048125177615</v>
      </c>
      <c r="AM33" s="16">
        <f t="shared" si="10"/>
        <v>63705.420469529185</v>
      </c>
      <c r="AN33" s="16">
        <f t="shared" si="11"/>
        <v>177391.41982127755</v>
      </c>
    </row>
    <row r="34" spans="1:41" ht="15" customHeight="1" x14ac:dyDescent="0.2">
      <c r="A34" s="3" t="s">
        <v>84</v>
      </c>
      <c r="B34" s="16">
        <f>Assumptions!C54</f>
        <v>900</v>
      </c>
      <c r="C34" s="16">
        <f>Assumptions!C54</f>
        <v>900</v>
      </c>
      <c r="D34" s="16">
        <f>Assumptions!C54</f>
        <v>900</v>
      </c>
      <c r="E34" s="16">
        <f>Assumptions!C54</f>
        <v>900</v>
      </c>
      <c r="F34" s="16">
        <f>Assumptions!C54</f>
        <v>900</v>
      </c>
      <c r="G34" s="16">
        <f>Assumptions!C54</f>
        <v>900</v>
      </c>
      <c r="H34" s="16">
        <f>Assumptions!C54</f>
        <v>900</v>
      </c>
      <c r="I34" s="16">
        <f>Assumptions!C54</f>
        <v>900</v>
      </c>
      <c r="J34" s="16">
        <f>Assumptions!C54</f>
        <v>900</v>
      </c>
      <c r="K34" s="16">
        <f>Assumptions!C54</f>
        <v>900</v>
      </c>
      <c r="L34" s="16">
        <f>Assumptions!C54</f>
        <v>900</v>
      </c>
      <c r="M34" s="16">
        <f>Assumptions!C54</f>
        <v>900</v>
      </c>
      <c r="N34" s="16">
        <f>Assumptions!C55</f>
        <v>9000</v>
      </c>
      <c r="O34" s="16">
        <f>Assumptions!C55</f>
        <v>9000</v>
      </c>
      <c r="P34" s="16">
        <f>Assumptions!C55</f>
        <v>9000</v>
      </c>
      <c r="Q34" s="16">
        <f>Assumptions!C55</f>
        <v>9000</v>
      </c>
      <c r="R34" s="16">
        <f>Assumptions!C55</f>
        <v>9000</v>
      </c>
      <c r="S34" s="16">
        <f>Assumptions!C55</f>
        <v>9000</v>
      </c>
      <c r="T34" s="16">
        <f>Assumptions!C55</f>
        <v>9000</v>
      </c>
      <c r="U34" s="16">
        <f>Assumptions!C55</f>
        <v>9000</v>
      </c>
      <c r="V34" s="16">
        <f>Assumptions!C55</f>
        <v>9000</v>
      </c>
      <c r="W34" s="16">
        <f>Assumptions!C55</f>
        <v>9000</v>
      </c>
      <c r="X34" s="16">
        <f>Assumptions!C55</f>
        <v>9000</v>
      </c>
      <c r="Y34" s="16">
        <f>Assumptions!C55</f>
        <v>9000</v>
      </c>
      <c r="Z34" s="16">
        <f>Assumptions!C76</f>
        <v>12000</v>
      </c>
      <c r="AA34" s="16">
        <f>Assumptions!C76</f>
        <v>12000</v>
      </c>
      <c r="AB34" s="16">
        <f>Assumptions!C76</f>
        <v>12000</v>
      </c>
      <c r="AC34" s="16">
        <f>Assumptions!C76</f>
        <v>12000</v>
      </c>
      <c r="AD34" s="16">
        <f>Assumptions!C76</f>
        <v>12000</v>
      </c>
      <c r="AE34" s="16">
        <f>Assumptions!C76</f>
        <v>12000</v>
      </c>
      <c r="AF34" s="16">
        <f>Assumptions!C76</f>
        <v>12000</v>
      </c>
      <c r="AG34" s="16">
        <f>Assumptions!C76</f>
        <v>12000</v>
      </c>
      <c r="AH34" s="16">
        <f>Assumptions!C76</f>
        <v>12000</v>
      </c>
      <c r="AI34" s="16">
        <f>Assumptions!C76</f>
        <v>12000</v>
      </c>
      <c r="AJ34" s="16">
        <f>Assumptions!C76</f>
        <v>12000</v>
      </c>
      <c r="AK34" s="16">
        <f>Assumptions!C76</f>
        <v>12000</v>
      </c>
      <c r="AL34" s="16">
        <f t="shared" si="9"/>
        <v>10800</v>
      </c>
      <c r="AM34" s="16">
        <f t="shared" si="10"/>
        <v>108000</v>
      </c>
      <c r="AN34" s="16">
        <f t="shared" si="11"/>
        <v>144000</v>
      </c>
    </row>
    <row r="35" spans="1:41" ht="15" customHeight="1" x14ac:dyDescent="0.2">
      <c r="A35" s="3" t="s">
        <v>85</v>
      </c>
      <c r="B35" s="16">
        <f>0</f>
        <v>0</v>
      </c>
      <c r="C35" s="16">
        <f>0</f>
        <v>0</v>
      </c>
      <c r="D35" s="16">
        <f>Assumptions!C56</f>
        <v>5000</v>
      </c>
      <c r="E35" s="16">
        <f>Assumptions!C56</f>
        <v>5000</v>
      </c>
      <c r="F35" s="16">
        <f>Assumptions!C56</f>
        <v>5000</v>
      </c>
      <c r="G35" s="16">
        <f>Assumptions!C56</f>
        <v>5000</v>
      </c>
      <c r="H35" s="16">
        <f>Assumptions!C57</f>
        <v>9000</v>
      </c>
      <c r="I35" s="16">
        <f>Assumptions!C57</f>
        <v>9000</v>
      </c>
      <c r="J35" s="16">
        <f>Assumptions!C57</f>
        <v>9000</v>
      </c>
      <c r="K35" s="16">
        <f>Assumptions!C57</f>
        <v>9000</v>
      </c>
      <c r="L35" s="16">
        <f>Assumptions!C57</f>
        <v>9000</v>
      </c>
      <c r="M35" s="16">
        <f>Assumptions!C57</f>
        <v>9000</v>
      </c>
      <c r="N35" s="16">
        <f>Assumptions!C58</f>
        <v>30000</v>
      </c>
      <c r="O35" s="16">
        <f>Assumptions!C58</f>
        <v>30000</v>
      </c>
      <c r="P35" s="16">
        <f>Assumptions!C58</f>
        <v>30000</v>
      </c>
      <c r="Q35" s="16">
        <f>Assumptions!C58</f>
        <v>30000</v>
      </c>
      <c r="R35" s="16">
        <f>Assumptions!C58</f>
        <v>30000</v>
      </c>
      <c r="S35" s="16">
        <f>Assumptions!C58</f>
        <v>30000</v>
      </c>
      <c r="T35" s="16">
        <f>Assumptions!C58</f>
        <v>30000</v>
      </c>
      <c r="U35" s="16">
        <f>Assumptions!C58</f>
        <v>30000</v>
      </c>
      <c r="V35" s="16">
        <f>Assumptions!C58</f>
        <v>30000</v>
      </c>
      <c r="W35" s="16">
        <f>Assumptions!C58</f>
        <v>30000</v>
      </c>
      <c r="X35" s="16">
        <f>Assumptions!C58</f>
        <v>30000</v>
      </c>
      <c r="Y35" s="16">
        <f>Assumptions!C58</f>
        <v>30000</v>
      </c>
      <c r="Z35" s="16">
        <f>Assumptions!C59</f>
        <v>48000</v>
      </c>
      <c r="AA35" s="16">
        <f>Assumptions!C59</f>
        <v>48000</v>
      </c>
      <c r="AB35" s="16">
        <f>Assumptions!C59</f>
        <v>48000</v>
      </c>
      <c r="AC35" s="16">
        <f>Assumptions!C59</f>
        <v>48000</v>
      </c>
      <c r="AD35" s="16">
        <f>Assumptions!C59</f>
        <v>48000</v>
      </c>
      <c r="AE35" s="16">
        <f>Assumptions!C59</f>
        <v>48000</v>
      </c>
      <c r="AF35" s="16">
        <f>Assumptions!C59</f>
        <v>48000</v>
      </c>
      <c r="AG35" s="16">
        <f>Assumptions!C59</f>
        <v>48000</v>
      </c>
      <c r="AH35" s="16">
        <f>Assumptions!C59</f>
        <v>48000</v>
      </c>
      <c r="AI35" s="16">
        <f>Assumptions!C59</f>
        <v>48000</v>
      </c>
      <c r="AJ35" s="16">
        <f>Assumptions!C59</f>
        <v>48000</v>
      </c>
      <c r="AK35" s="16">
        <f>Assumptions!C59</f>
        <v>48000</v>
      </c>
      <c r="AL35" s="16">
        <f t="shared" si="9"/>
        <v>74000</v>
      </c>
      <c r="AM35" s="16">
        <f t="shared" si="10"/>
        <v>360000</v>
      </c>
      <c r="AN35" s="16">
        <f t="shared" si="11"/>
        <v>576000</v>
      </c>
    </row>
    <row r="36" spans="1:41" ht="15" customHeight="1" x14ac:dyDescent="0.2">
      <c r="A36" s="3" t="s">
        <v>86</v>
      </c>
      <c r="B36" s="16">
        <f>Assumptions!C60</f>
        <v>1200</v>
      </c>
      <c r="C36" s="16">
        <f>Assumptions!C60</f>
        <v>1200</v>
      </c>
      <c r="D36" s="16">
        <f>Assumptions!C60</f>
        <v>1200</v>
      </c>
      <c r="E36" s="16">
        <f>Assumptions!C60+Assumptions!C12</f>
        <v>10200</v>
      </c>
      <c r="F36" s="16">
        <f>Assumptions!C60+Assumptions!C12</f>
        <v>10200</v>
      </c>
      <c r="G36" s="16">
        <f>Assumptions!C60+Assumptions!C12</f>
        <v>10200</v>
      </c>
      <c r="H36" s="16">
        <f>Assumptions!C60+Assumptions!C12</f>
        <v>10200</v>
      </c>
      <c r="I36" s="16">
        <f>Assumptions!C60+Assumptions!C12</f>
        <v>10200</v>
      </c>
      <c r="J36" s="16">
        <f>Assumptions!C60+Assumptions!C12</f>
        <v>10200</v>
      </c>
      <c r="K36" s="16">
        <f>Assumptions!C60+Assumptions!C12</f>
        <v>10200</v>
      </c>
      <c r="L36" s="16">
        <f>Assumptions!C60+Assumptions!C12</f>
        <v>10200</v>
      </c>
      <c r="M36" s="16">
        <f>Assumptions!C60+Assumptions!C12</f>
        <v>10200</v>
      </c>
      <c r="N36" s="16">
        <f>Assumptions!C61+Assumptions!C13</f>
        <v>20000</v>
      </c>
      <c r="O36" s="16">
        <f>Assumptions!C61+Assumptions!C13</f>
        <v>20000</v>
      </c>
      <c r="P36" s="16">
        <f>Assumptions!C61+Assumptions!C13</f>
        <v>20000</v>
      </c>
      <c r="Q36" s="16">
        <f>Assumptions!C61+Assumptions!C13</f>
        <v>20000</v>
      </c>
      <c r="R36" s="16">
        <f>Assumptions!C61+Assumptions!C13</f>
        <v>20000</v>
      </c>
      <c r="S36" s="16">
        <f>Assumptions!C61+Assumptions!C13</f>
        <v>20000</v>
      </c>
      <c r="T36" s="16">
        <f>Assumptions!C61+Assumptions!C13</f>
        <v>20000</v>
      </c>
      <c r="U36" s="16">
        <f>Assumptions!C61+Assumptions!C13</f>
        <v>20000</v>
      </c>
      <c r="V36" s="16">
        <f>Assumptions!C61+Assumptions!C13</f>
        <v>20000</v>
      </c>
      <c r="W36" s="16">
        <f>Assumptions!C61+Assumptions!C13</f>
        <v>20000</v>
      </c>
      <c r="X36" s="16">
        <f>Assumptions!C61+Assumptions!C13</f>
        <v>20000</v>
      </c>
      <c r="Y36" s="16">
        <f>Assumptions!C61+Assumptions!C13</f>
        <v>20000</v>
      </c>
      <c r="Z36" s="16">
        <f>Assumptions!C62+Assumptions!C14</f>
        <v>21000</v>
      </c>
      <c r="AA36" s="16">
        <f>Assumptions!C62+Assumptions!C14</f>
        <v>21000</v>
      </c>
      <c r="AB36" s="16">
        <f>Assumptions!C62+Assumptions!C14</f>
        <v>21000</v>
      </c>
      <c r="AC36" s="16">
        <f>Assumptions!C62+Assumptions!C14</f>
        <v>21000</v>
      </c>
      <c r="AD36" s="16">
        <f>Assumptions!C62+Assumptions!C14</f>
        <v>21000</v>
      </c>
      <c r="AE36" s="16">
        <f>Assumptions!C62+Assumptions!C14</f>
        <v>21000</v>
      </c>
      <c r="AF36" s="16">
        <f>Assumptions!C62+Assumptions!C14</f>
        <v>21000</v>
      </c>
      <c r="AG36" s="16">
        <f>Assumptions!C62+Assumptions!C14</f>
        <v>21000</v>
      </c>
      <c r="AH36" s="16">
        <f>Assumptions!C62+Assumptions!C14</f>
        <v>21000</v>
      </c>
      <c r="AI36" s="16">
        <f>Assumptions!C62+Assumptions!C14</f>
        <v>21000</v>
      </c>
      <c r="AJ36" s="16">
        <f>Assumptions!C62+Assumptions!C14</f>
        <v>21000</v>
      </c>
      <c r="AK36" s="16">
        <f>Assumptions!C62+Assumptions!C14</f>
        <v>21000</v>
      </c>
      <c r="AL36" s="16">
        <f t="shared" si="9"/>
        <v>95400</v>
      </c>
      <c r="AM36" s="16">
        <f t="shared" si="10"/>
        <v>240000</v>
      </c>
      <c r="AN36" s="16">
        <f t="shared" si="11"/>
        <v>252000</v>
      </c>
    </row>
    <row r="37" spans="1:41" ht="15" customHeight="1" x14ac:dyDescent="0.2">
      <c r="A37" s="3" t="s">
        <v>87</v>
      </c>
      <c r="B37" s="16">
        <f>0</f>
        <v>0</v>
      </c>
      <c r="C37" s="16">
        <f>0</f>
        <v>0</v>
      </c>
      <c r="D37" s="16">
        <f>Assumptions!C63</f>
        <v>900</v>
      </c>
      <c r="E37" s="16">
        <f>Assumptions!C63</f>
        <v>900</v>
      </c>
      <c r="F37" s="16">
        <f>Assumptions!C63</f>
        <v>900</v>
      </c>
      <c r="G37" s="16">
        <f>Assumptions!C63</f>
        <v>900</v>
      </c>
      <c r="H37" s="16">
        <f>Assumptions!C63</f>
        <v>900</v>
      </c>
      <c r="I37" s="16">
        <f>Assumptions!C63</f>
        <v>900</v>
      </c>
      <c r="J37" s="16">
        <f>Assumptions!C63</f>
        <v>900</v>
      </c>
      <c r="K37" s="16">
        <f>Assumptions!C63</f>
        <v>900</v>
      </c>
      <c r="L37" s="16">
        <f>Assumptions!C63</f>
        <v>900</v>
      </c>
      <c r="M37" s="16">
        <f>Assumptions!C63</f>
        <v>900</v>
      </c>
      <c r="N37" s="16">
        <f>Assumptions!C64</f>
        <v>1500</v>
      </c>
      <c r="O37" s="16">
        <f>Assumptions!C64</f>
        <v>1500</v>
      </c>
      <c r="P37" s="16">
        <f>Assumptions!C64</f>
        <v>1500</v>
      </c>
      <c r="Q37" s="16">
        <f>Assumptions!C64</f>
        <v>1500</v>
      </c>
      <c r="R37" s="16">
        <f>Assumptions!C64</f>
        <v>1500</v>
      </c>
      <c r="S37" s="16">
        <f>Assumptions!C64</f>
        <v>1500</v>
      </c>
      <c r="T37" s="16">
        <f>Assumptions!C64</f>
        <v>1500</v>
      </c>
      <c r="U37" s="16">
        <f>Assumptions!C64</f>
        <v>1500</v>
      </c>
      <c r="V37" s="16">
        <f>Assumptions!C64</f>
        <v>1500</v>
      </c>
      <c r="W37" s="16">
        <f>Assumptions!C64</f>
        <v>1500</v>
      </c>
      <c r="X37" s="16">
        <f>Assumptions!C64</f>
        <v>1500</v>
      </c>
      <c r="Y37" s="16">
        <f>Assumptions!C64</f>
        <v>1500</v>
      </c>
      <c r="Z37" s="16">
        <f>Assumptions!C65</f>
        <v>2200</v>
      </c>
      <c r="AA37" s="16">
        <f>Assumptions!C65</f>
        <v>2200</v>
      </c>
      <c r="AB37" s="16">
        <f>Assumptions!C65</f>
        <v>2200</v>
      </c>
      <c r="AC37" s="16">
        <f>Assumptions!C65</f>
        <v>2200</v>
      </c>
      <c r="AD37" s="16">
        <f>Assumptions!C65</f>
        <v>2200</v>
      </c>
      <c r="AE37" s="16">
        <f>Assumptions!C65</f>
        <v>2200</v>
      </c>
      <c r="AF37" s="16">
        <f>Assumptions!C65</f>
        <v>2200</v>
      </c>
      <c r="AG37" s="16">
        <f>Assumptions!C65</f>
        <v>2200</v>
      </c>
      <c r="AH37" s="16">
        <f>Assumptions!C65</f>
        <v>2200</v>
      </c>
      <c r="AI37" s="16">
        <f>Assumptions!C65</f>
        <v>2200</v>
      </c>
      <c r="AJ37" s="16">
        <f>Assumptions!C65</f>
        <v>2200</v>
      </c>
      <c r="AK37" s="16">
        <f>Assumptions!C65</f>
        <v>2200</v>
      </c>
      <c r="AL37" s="16">
        <f t="shared" si="9"/>
        <v>9000</v>
      </c>
      <c r="AM37" s="16">
        <f t="shared" si="10"/>
        <v>18000</v>
      </c>
      <c r="AN37" s="16">
        <f t="shared" si="11"/>
        <v>26400</v>
      </c>
    </row>
    <row r="38" spans="1:41" ht="15" customHeight="1" x14ac:dyDescent="0.2">
      <c r="A38" s="3" t="s">
        <v>88</v>
      </c>
      <c r="B38" s="16">
        <f>Assumptions!C66</f>
        <v>800</v>
      </c>
      <c r="C38" s="16">
        <f>Assumptions!C66</f>
        <v>800</v>
      </c>
      <c r="D38" s="16">
        <f>Assumptions!C66</f>
        <v>800</v>
      </c>
      <c r="E38" s="16">
        <f>Assumptions!C67</f>
        <v>350</v>
      </c>
      <c r="F38" s="16">
        <f>Assumptions!C67</f>
        <v>350</v>
      </c>
      <c r="G38" s="16">
        <f>Assumptions!C67</f>
        <v>350</v>
      </c>
      <c r="H38" s="16">
        <f>Assumptions!C67</f>
        <v>350</v>
      </c>
      <c r="I38" s="16">
        <f>Assumptions!C67</f>
        <v>350</v>
      </c>
      <c r="J38" s="16">
        <f>Assumptions!C67</f>
        <v>350</v>
      </c>
      <c r="K38" s="16">
        <f>Assumptions!C67</f>
        <v>350</v>
      </c>
      <c r="L38" s="16">
        <f>Assumptions!C67</f>
        <v>350</v>
      </c>
      <c r="M38" s="16">
        <f>Assumptions!C67</f>
        <v>350</v>
      </c>
      <c r="N38" s="16">
        <f>Assumptions!C67</f>
        <v>350</v>
      </c>
      <c r="O38" s="16">
        <f>Assumptions!C67</f>
        <v>350</v>
      </c>
      <c r="P38" s="16">
        <f>Assumptions!C67</f>
        <v>350</v>
      </c>
      <c r="Q38" s="16">
        <f>Assumptions!C67</f>
        <v>350</v>
      </c>
      <c r="R38" s="16">
        <f>Assumptions!C67</f>
        <v>350</v>
      </c>
      <c r="S38" s="16">
        <f>Assumptions!C67</f>
        <v>350</v>
      </c>
      <c r="T38" s="16">
        <f>Assumptions!C67</f>
        <v>350</v>
      </c>
      <c r="U38" s="16">
        <f>Assumptions!C67</f>
        <v>350</v>
      </c>
      <c r="V38" s="16">
        <f>Assumptions!C67</f>
        <v>350</v>
      </c>
      <c r="W38" s="16">
        <f>Assumptions!C67</f>
        <v>350</v>
      </c>
      <c r="X38" s="16">
        <f>Assumptions!C67</f>
        <v>350</v>
      </c>
      <c r="Y38" s="16">
        <f>Assumptions!C67</f>
        <v>350</v>
      </c>
      <c r="Z38" s="16">
        <f>Assumptions!C67</f>
        <v>350</v>
      </c>
      <c r="AA38" s="16">
        <f>Assumptions!C67</f>
        <v>350</v>
      </c>
      <c r="AB38" s="16">
        <f>Assumptions!C67</f>
        <v>350</v>
      </c>
      <c r="AC38" s="16">
        <f>Assumptions!C67</f>
        <v>350</v>
      </c>
      <c r="AD38" s="16">
        <f>Assumptions!C67</f>
        <v>350</v>
      </c>
      <c r="AE38" s="16">
        <f>Assumptions!C67</f>
        <v>350</v>
      </c>
      <c r="AF38" s="16">
        <f>Assumptions!C67</f>
        <v>350</v>
      </c>
      <c r="AG38" s="16">
        <f>Assumptions!C67</f>
        <v>350</v>
      </c>
      <c r="AH38" s="16">
        <f>Assumptions!C67</f>
        <v>350</v>
      </c>
      <c r="AI38" s="16">
        <f>Assumptions!C67</f>
        <v>350</v>
      </c>
      <c r="AJ38" s="16">
        <f>Assumptions!C67</f>
        <v>350</v>
      </c>
      <c r="AK38" s="16">
        <f>Assumptions!C67</f>
        <v>350</v>
      </c>
      <c r="AL38" s="16">
        <f t="shared" si="9"/>
        <v>5550</v>
      </c>
      <c r="AM38" s="16">
        <f t="shared" si="10"/>
        <v>4200</v>
      </c>
      <c r="AN38" s="16">
        <f t="shared" si="11"/>
        <v>4200</v>
      </c>
    </row>
    <row r="39" spans="1:41" ht="15" customHeight="1" x14ac:dyDescent="0.2">
      <c r="A39" s="3" t="s">
        <v>89</v>
      </c>
      <c r="B39" s="16">
        <f>0</f>
        <v>0</v>
      </c>
      <c r="C39" s="16">
        <f>0</f>
        <v>0</v>
      </c>
      <c r="D39" s="16">
        <f>0</f>
        <v>0</v>
      </c>
      <c r="E39" s="16">
        <f>Assumptions!C50/3</f>
        <v>2666.6666666666665</v>
      </c>
      <c r="F39" s="16">
        <f>Assumptions!C50/3</f>
        <v>2666.6666666666665</v>
      </c>
      <c r="G39" s="16">
        <f>Assumptions!C50/3</f>
        <v>2666.6666666666665</v>
      </c>
      <c r="H39" s="16">
        <f>0</f>
        <v>0</v>
      </c>
      <c r="I39" s="16">
        <f>0</f>
        <v>0</v>
      </c>
      <c r="J39" s="16">
        <f>0</f>
        <v>0</v>
      </c>
      <c r="K39" s="16">
        <f>0</f>
        <v>0</v>
      </c>
      <c r="L39" s="16">
        <f>0</f>
        <v>0</v>
      </c>
      <c r="M39" s="16">
        <f>0</f>
        <v>0</v>
      </c>
      <c r="N39" s="16">
        <f>0</f>
        <v>0</v>
      </c>
      <c r="O39" s="16">
        <f>0</f>
        <v>0</v>
      </c>
      <c r="P39" s="16">
        <f>0</f>
        <v>0</v>
      </c>
      <c r="Q39" s="16">
        <f>0</f>
        <v>0</v>
      </c>
      <c r="R39" s="16">
        <f>0</f>
        <v>0</v>
      </c>
      <c r="S39" s="16">
        <f>0</f>
        <v>0</v>
      </c>
      <c r="T39" s="16">
        <f>0</f>
        <v>0</v>
      </c>
      <c r="U39" s="16">
        <f>0</f>
        <v>0</v>
      </c>
      <c r="V39" s="16">
        <f>0</f>
        <v>0</v>
      </c>
      <c r="W39" s="16">
        <f>0</f>
        <v>0</v>
      </c>
      <c r="X39" s="16">
        <f>0</f>
        <v>0</v>
      </c>
      <c r="Y39" s="16">
        <f>0</f>
        <v>0</v>
      </c>
      <c r="Z39" s="16">
        <f>0</f>
        <v>0</v>
      </c>
      <c r="AA39" s="16">
        <f>0</f>
        <v>0</v>
      </c>
      <c r="AB39" s="16">
        <f>0</f>
        <v>0</v>
      </c>
      <c r="AC39" s="16">
        <f>0</f>
        <v>0</v>
      </c>
      <c r="AD39" s="16">
        <f>0</f>
        <v>0</v>
      </c>
      <c r="AE39" s="16">
        <f>0</f>
        <v>0</v>
      </c>
      <c r="AF39" s="16">
        <f>0</f>
        <v>0</v>
      </c>
      <c r="AG39" s="16">
        <f>0</f>
        <v>0</v>
      </c>
      <c r="AH39" s="16">
        <f>0</f>
        <v>0</v>
      </c>
      <c r="AI39" s="16">
        <f>0</f>
        <v>0</v>
      </c>
      <c r="AJ39" s="16">
        <f>0</f>
        <v>0</v>
      </c>
      <c r="AK39" s="16">
        <f>0</f>
        <v>0</v>
      </c>
      <c r="AL39" s="16">
        <f t="shared" si="9"/>
        <v>8000</v>
      </c>
      <c r="AM39" s="16">
        <f t="shared" si="10"/>
        <v>0</v>
      </c>
      <c r="AN39" s="16">
        <f t="shared" si="11"/>
        <v>0</v>
      </c>
    </row>
    <row r="40" spans="1:41" ht="15" customHeight="1" x14ac:dyDescent="0.2">
      <c r="A40" s="3" t="s">
        <v>90</v>
      </c>
      <c r="B40" s="16">
        <f>0</f>
        <v>0</v>
      </c>
      <c r="C40" s="16">
        <f>0</f>
        <v>0</v>
      </c>
      <c r="D40" s="16">
        <f>0</f>
        <v>0</v>
      </c>
      <c r="E40" s="16">
        <f>0</f>
        <v>0</v>
      </c>
      <c r="F40" s="16">
        <f>0</f>
        <v>0</v>
      </c>
      <c r="G40" s="16">
        <f>0</f>
        <v>0</v>
      </c>
      <c r="H40" s="16">
        <f>0</f>
        <v>0</v>
      </c>
      <c r="I40" s="16">
        <f>0</f>
        <v>0</v>
      </c>
      <c r="J40" s="16">
        <f>0</f>
        <v>0</v>
      </c>
      <c r="K40" s="16">
        <f>0</f>
        <v>0</v>
      </c>
      <c r="L40" s="16">
        <f>0</f>
        <v>0</v>
      </c>
      <c r="M40" s="16">
        <f>0</f>
        <v>0</v>
      </c>
      <c r="N40" s="16">
        <f>0</f>
        <v>0</v>
      </c>
      <c r="O40" s="16">
        <f>0</f>
        <v>0</v>
      </c>
      <c r="P40" s="16">
        <f>Assumptions!C51</f>
        <v>5000</v>
      </c>
      <c r="Q40" s="16">
        <f>0</f>
        <v>0</v>
      </c>
      <c r="R40" s="16">
        <f>0</f>
        <v>0</v>
      </c>
      <c r="S40" s="16">
        <f>0</f>
        <v>0</v>
      </c>
      <c r="T40" s="16">
        <f>0</f>
        <v>0</v>
      </c>
      <c r="U40" s="16">
        <f>0</f>
        <v>0</v>
      </c>
      <c r="V40" s="16">
        <f>0</f>
        <v>0</v>
      </c>
      <c r="W40" s="16">
        <f>0</f>
        <v>0</v>
      </c>
      <c r="X40" s="16">
        <f>0</f>
        <v>0</v>
      </c>
      <c r="Y40" s="16">
        <f>0</f>
        <v>0</v>
      </c>
      <c r="Z40" s="16">
        <f>0</f>
        <v>0</v>
      </c>
      <c r="AA40" s="16">
        <f>0</f>
        <v>0</v>
      </c>
      <c r="AB40" s="16">
        <f>0</f>
        <v>0</v>
      </c>
      <c r="AC40" s="16">
        <f>0</f>
        <v>0</v>
      </c>
      <c r="AD40" s="16">
        <f>0</f>
        <v>0</v>
      </c>
      <c r="AE40" s="16">
        <f>0</f>
        <v>0</v>
      </c>
      <c r="AF40" s="16">
        <f>0</f>
        <v>0</v>
      </c>
      <c r="AG40" s="16">
        <f>0</f>
        <v>0</v>
      </c>
      <c r="AH40" s="16">
        <f>0</f>
        <v>0</v>
      </c>
      <c r="AI40" s="16">
        <f>0</f>
        <v>0</v>
      </c>
      <c r="AJ40" s="16">
        <f>0</f>
        <v>0</v>
      </c>
      <c r="AK40" s="16">
        <f>0</f>
        <v>0</v>
      </c>
      <c r="AL40" s="16">
        <f t="shared" si="9"/>
        <v>0</v>
      </c>
      <c r="AM40" s="16">
        <f t="shared" si="10"/>
        <v>5000</v>
      </c>
      <c r="AN40" s="16">
        <f t="shared" si="11"/>
        <v>0</v>
      </c>
    </row>
    <row r="41" spans="1:41" ht="15" customHeight="1" x14ac:dyDescent="0.2">
      <c r="A41" s="3" t="s">
        <v>91</v>
      </c>
      <c r="B41" s="16">
        <f>0</f>
        <v>0</v>
      </c>
      <c r="C41" s="16">
        <f>0</f>
        <v>0</v>
      </c>
      <c r="D41" s="16">
        <f>0</f>
        <v>0</v>
      </c>
      <c r="E41" s="16">
        <f>0</f>
        <v>0</v>
      </c>
      <c r="F41" s="16">
        <f>0</f>
        <v>0</v>
      </c>
      <c r="G41" s="16">
        <f>0</f>
        <v>0</v>
      </c>
      <c r="H41" s="16">
        <f>0</f>
        <v>0</v>
      </c>
      <c r="I41" s="16">
        <f>0</f>
        <v>0</v>
      </c>
      <c r="J41" s="16">
        <f>0</f>
        <v>0</v>
      </c>
      <c r="K41" s="16">
        <f>0</f>
        <v>0</v>
      </c>
      <c r="L41" s="16">
        <f>0</f>
        <v>0</v>
      </c>
      <c r="M41" s="16">
        <f>0</f>
        <v>0</v>
      </c>
      <c r="N41" s="16">
        <f>0</f>
        <v>0</v>
      </c>
      <c r="O41" s="16">
        <f>0</f>
        <v>0</v>
      </c>
      <c r="P41" s="16">
        <f>0</f>
        <v>0</v>
      </c>
      <c r="Q41" s="16">
        <f>0</f>
        <v>0</v>
      </c>
      <c r="R41" s="16">
        <f>0</f>
        <v>0</v>
      </c>
      <c r="S41" s="16">
        <f>0</f>
        <v>0</v>
      </c>
      <c r="T41" s="16">
        <f>0</f>
        <v>0</v>
      </c>
      <c r="U41" s="16">
        <f>Assumptions!C52</f>
        <v>3000</v>
      </c>
      <c r="V41" s="16">
        <f>Assumptions!C52</f>
        <v>3000</v>
      </c>
      <c r="W41" s="16">
        <f>Assumptions!C52</f>
        <v>3000</v>
      </c>
      <c r="X41" s="16">
        <f>Assumptions!C52</f>
        <v>3000</v>
      </c>
      <c r="Y41" s="16">
        <f>0</f>
        <v>0</v>
      </c>
      <c r="Z41" s="16">
        <f>0</f>
        <v>0</v>
      </c>
      <c r="AA41" s="16">
        <f>0</f>
        <v>0</v>
      </c>
      <c r="AB41" s="16">
        <f>0</f>
        <v>0</v>
      </c>
      <c r="AC41" s="16">
        <f>0</f>
        <v>0</v>
      </c>
      <c r="AD41" s="16">
        <f>0</f>
        <v>0</v>
      </c>
      <c r="AE41" s="16">
        <f>0</f>
        <v>0</v>
      </c>
      <c r="AF41" s="16">
        <f>0</f>
        <v>0</v>
      </c>
      <c r="AG41" s="16">
        <f>0</f>
        <v>0</v>
      </c>
      <c r="AH41" s="16">
        <f>0</f>
        <v>0</v>
      </c>
      <c r="AI41" s="16">
        <f>0</f>
        <v>0</v>
      </c>
      <c r="AJ41" s="16">
        <f>0</f>
        <v>0</v>
      </c>
      <c r="AK41" s="16">
        <f>0</f>
        <v>0</v>
      </c>
      <c r="AL41" s="16">
        <f t="shared" si="9"/>
        <v>0</v>
      </c>
      <c r="AM41" s="16">
        <f t="shared" si="10"/>
        <v>12000</v>
      </c>
      <c r="AN41" s="16">
        <f t="shared" si="11"/>
        <v>0</v>
      </c>
    </row>
    <row r="42" spans="1:41" ht="15" customHeight="1" x14ac:dyDescent="0.2">
      <c r="A42" s="13" t="s">
        <v>92</v>
      </c>
      <c r="B42" s="17">
        <f t="shared" ref="B42:AK42" si="12">B30+B31+B32+B33+B34+B35+B36+B37+B38+B39+B40+B41</f>
        <v>3008.7424000000001</v>
      </c>
      <c r="C42" s="17">
        <f t="shared" si="12"/>
        <v>3024.4070080000001</v>
      </c>
      <c r="D42" s="17">
        <f t="shared" si="12"/>
        <v>9524.8167721600003</v>
      </c>
      <c r="E42" s="18">
        <f t="shared" si="12"/>
        <v>21134.733276781153</v>
      </c>
      <c r="F42" s="18">
        <f t="shared" si="12"/>
        <v>21673.47604605907</v>
      </c>
      <c r="G42" s="18">
        <f t="shared" si="12"/>
        <v>22828.08149203633</v>
      </c>
      <c r="H42" s="18">
        <f t="shared" si="12"/>
        <v>24774.883765704551</v>
      </c>
      <c r="I42" s="18">
        <f t="shared" si="12"/>
        <v>25363.298909872723</v>
      </c>
      <c r="J42" s="18">
        <f t="shared" si="12"/>
        <v>25933.076703536637</v>
      </c>
      <c r="K42" s="18">
        <f t="shared" si="12"/>
        <v>26490.752530358091</v>
      </c>
      <c r="L42" s="18">
        <f t="shared" si="12"/>
        <v>27043.107621614618</v>
      </c>
      <c r="M42" s="18">
        <f t="shared" si="12"/>
        <v>27597.308081876916</v>
      </c>
      <c r="N42" s="18">
        <f t="shared" si="12"/>
        <v>68131.700907651611</v>
      </c>
      <c r="O42" s="18">
        <f t="shared" si="12"/>
        <v>69220.213786302571</v>
      </c>
      <c r="P42" s="18">
        <f t="shared" si="12"/>
        <v>75343.429477119382</v>
      </c>
      <c r="Q42" s="18">
        <f t="shared" si="12"/>
        <v>71485.682914073084</v>
      </c>
      <c r="R42" s="18">
        <f t="shared" si="12"/>
        <v>72661.099003291936</v>
      </c>
      <c r="S42" s="18">
        <f t="shared" si="12"/>
        <v>73885.512135844736</v>
      </c>
      <c r="T42" s="18">
        <f t="shared" si="12"/>
        <v>75176.854667176071</v>
      </c>
      <c r="U42" s="18">
        <f t="shared" si="12"/>
        <v>79555.608356149314</v>
      </c>
      <c r="V42" s="18">
        <f t="shared" si="12"/>
        <v>81045.330977592253</v>
      </c>
      <c r="W42" s="18">
        <f t="shared" si="12"/>
        <v>82673.272460171211</v>
      </c>
      <c r="X42" s="18">
        <f t="shared" si="12"/>
        <v>84471.097436581753</v>
      </c>
      <c r="Y42" s="18">
        <f t="shared" si="12"/>
        <v>83471.665360183106</v>
      </c>
      <c r="Z42" s="18">
        <f t="shared" si="12"/>
        <v>108619.92876843974</v>
      </c>
      <c r="AA42" s="18">
        <f t="shared" si="12"/>
        <v>111445.37636804848</v>
      </c>
      <c r="AB42" s="18">
        <f t="shared" si="12"/>
        <v>114637.96999490906</v>
      </c>
      <c r="AC42" s="18">
        <f t="shared" si="12"/>
        <v>118269.7548045482</v>
      </c>
      <c r="AD42" s="18">
        <f t="shared" si="12"/>
        <v>143087.81540641945</v>
      </c>
      <c r="AE42" s="18">
        <f t="shared" si="12"/>
        <v>150271.19218171129</v>
      </c>
      <c r="AF42" s="18">
        <f t="shared" si="12"/>
        <v>158584.31815102679</v>
      </c>
      <c r="AG42" s="18">
        <f t="shared" si="12"/>
        <v>167412.01257374277</v>
      </c>
      <c r="AH42" s="18">
        <f t="shared" si="12"/>
        <v>176293.44154298442</v>
      </c>
      <c r="AI42" s="18">
        <f t="shared" si="12"/>
        <v>186671.03542343699</v>
      </c>
      <c r="AJ42" s="18">
        <f t="shared" si="12"/>
        <v>198818.60378431733</v>
      </c>
      <c r="AK42" s="18">
        <f t="shared" si="12"/>
        <v>213059.03031863584</v>
      </c>
      <c r="AL42" s="17">
        <f t="shared" si="9"/>
        <v>238396.6846080001</v>
      </c>
      <c r="AM42" s="17">
        <f t="shared" si="10"/>
        <v>917121.46748213703</v>
      </c>
      <c r="AN42" s="18">
        <f t="shared" si="11"/>
        <v>1847170.4793182204</v>
      </c>
    </row>
    <row r="44" spans="1:41" ht="15" customHeight="1" x14ac:dyDescent="0.2">
      <c r="A44" s="30" t="s">
        <v>93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</row>
    <row r="45" spans="1:41" ht="27.75" customHeight="1" x14ac:dyDescent="0.2">
      <c r="A45" s="3" t="s">
        <v>94</v>
      </c>
      <c r="B45" s="12">
        <f t="shared" ref="B45:AK45" si="13">IF(B24=0,0,(B24-(B30+B31+B32))/B24)</f>
        <v>0.85</v>
      </c>
      <c r="C45" s="12">
        <f t="shared" si="13"/>
        <v>0.85</v>
      </c>
      <c r="D45" s="12">
        <f t="shared" si="13"/>
        <v>0.92382914256492332</v>
      </c>
      <c r="E45" s="12">
        <f t="shared" si="13"/>
        <v>0.88147124021737788</v>
      </c>
      <c r="F45" s="12">
        <f t="shared" si="13"/>
        <v>0.86561293186191002</v>
      </c>
      <c r="G45" s="12">
        <f t="shared" si="13"/>
        <v>0.80976259309537457</v>
      </c>
      <c r="H45" s="12">
        <f t="shared" si="13"/>
        <v>0.83026926187230932</v>
      </c>
      <c r="I45" s="12">
        <f t="shared" si="13"/>
        <v>0.84161771915067396</v>
      </c>
      <c r="J45" s="12">
        <f t="shared" si="13"/>
        <v>0.84891457686401484</v>
      </c>
      <c r="K45" s="12">
        <f t="shared" si="13"/>
        <v>0.85402879046259761</v>
      </c>
      <c r="L45" s="12">
        <f t="shared" si="13"/>
        <v>0.85780209890305181</v>
      </c>
      <c r="M45" s="12">
        <f t="shared" si="13"/>
        <v>0.86066595658218548</v>
      </c>
      <c r="N45" s="12">
        <f t="shared" si="13"/>
        <v>0.877660302270721</v>
      </c>
      <c r="O45" s="12">
        <f t="shared" si="13"/>
        <v>0.88041474328680203</v>
      </c>
      <c r="P45" s="12">
        <f t="shared" si="13"/>
        <v>0.88219477410630298</v>
      </c>
      <c r="Q45" s="12">
        <f t="shared" si="13"/>
        <v>0.88340005951003064</v>
      </c>
      <c r="R45" s="12">
        <f t="shared" si="13"/>
        <v>0.88416659870840741</v>
      </c>
      <c r="S45" s="12">
        <f t="shared" si="13"/>
        <v>0.88457219640750084</v>
      </c>
      <c r="T45" s="12">
        <f t="shared" si="13"/>
        <v>0.88466317490580082</v>
      </c>
      <c r="U45" s="12">
        <f t="shared" si="13"/>
        <v>0.88446799615311544</v>
      </c>
      <c r="V45" s="12">
        <f t="shared" si="13"/>
        <v>0.88400486928312716</v>
      </c>
      <c r="W45" s="12">
        <f t="shared" si="13"/>
        <v>0.88328637431052293</v>
      </c>
      <c r="X45" s="12">
        <f t="shared" si="13"/>
        <v>0.88232250341445284</v>
      </c>
      <c r="Y45" s="12">
        <f t="shared" si="13"/>
        <v>0.88112980256730256</v>
      </c>
      <c r="Z45" s="12">
        <f t="shared" si="13"/>
        <v>0.88028233834891245</v>
      </c>
      <c r="AA45" s="12">
        <f t="shared" si="13"/>
        <v>0.8786333995772907</v>
      </c>
      <c r="AB45" s="12">
        <f t="shared" si="13"/>
        <v>0.87680749311987993</v>
      </c>
      <c r="AC45" s="12">
        <f t="shared" si="13"/>
        <v>0.87482111284222619</v>
      </c>
      <c r="AD45" s="12">
        <f t="shared" si="13"/>
        <v>0.76905451199217911</v>
      </c>
      <c r="AE45" s="12">
        <f t="shared" si="13"/>
        <v>0.76606256249473248</v>
      </c>
      <c r="AF45" s="12">
        <f t="shared" si="13"/>
        <v>0.76279618994904597</v>
      </c>
      <c r="AG45" s="12">
        <f t="shared" si="13"/>
        <v>0.7593154439688351</v>
      </c>
      <c r="AH45" s="12">
        <f t="shared" si="13"/>
        <v>0.75568079043989</v>
      </c>
      <c r="AI45" s="12">
        <f t="shared" si="13"/>
        <v>0.75195191288318164</v>
      </c>
      <c r="AJ45" s="12">
        <f t="shared" si="13"/>
        <v>0.74818626592541904</v>
      </c>
      <c r="AK45" s="12">
        <f t="shared" si="13"/>
        <v>0.74443757773881591</v>
      </c>
      <c r="AL45" s="12">
        <f>IF(SUM(B24:M24)=0,0,(SUM(B24:M24)-(SUM(B30:M30)+SUM(B31:M31)+SUM(B32:M32)))/SUM(B24:M24))</f>
        <v>0.85060110337070105</v>
      </c>
      <c r="AM45" s="12">
        <f>IF(SUM(N24:Y24)=0,0,(SUM(N24:Y24)-(SUM(N30:Y30)+SUM(N31:Y31)+SUM(N32:Y32)))/SUM(N24:Y24))</f>
        <v>0.8829341732098015</v>
      </c>
      <c r="AN45" s="12">
        <f>IF(SUM(Z24:AK24)=0,0,(SUM(Z24:AK24)-(SUM(Z30:AK30)+SUM(Z31:AK31)+SUM(Z32:AK32)))/SUM(Z24:AK24))</f>
        <v>0.78030486333076077</v>
      </c>
      <c r="AO45" t="s">
        <v>95</v>
      </c>
    </row>
    <row r="46" spans="1:41" ht="15" customHeight="1" x14ac:dyDescent="0.2">
      <c r="A46" s="3" t="s">
        <v>96</v>
      </c>
      <c r="B46" s="16">
        <f t="shared" ref="B46:AK46" si="14">B24-B42</f>
        <v>-2817.1264000000001</v>
      </c>
      <c r="C46" s="16">
        <f t="shared" si="14"/>
        <v>-2728.3602879999999</v>
      </c>
      <c r="D46" s="16">
        <f t="shared" si="14"/>
        <v>-8508.9577577599994</v>
      </c>
      <c r="E46" s="2">
        <f t="shared" si="14"/>
        <v>-18751.605078401921</v>
      </c>
      <c r="F46" s="2">
        <f t="shared" si="14"/>
        <v>-16869.765848426432</v>
      </c>
      <c r="G46" s="2">
        <f t="shared" si="14"/>
        <v>-14588.475130208044</v>
      </c>
      <c r="H46" s="2">
        <f t="shared" si="14"/>
        <v>-13238.873816851832</v>
      </c>
      <c r="I46" s="2">
        <f t="shared" si="14"/>
        <v>-10644.041396147408</v>
      </c>
      <c r="J46" s="2">
        <f t="shared" si="14"/>
        <v>-8117.4776640780037</v>
      </c>
      <c r="K46" s="2">
        <f t="shared" si="14"/>
        <v>-5639.0799369711167</v>
      </c>
      <c r="L46" s="2">
        <f t="shared" si="14"/>
        <v>-3188.0935575832118</v>
      </c>
      <c r="M46" s="16">
        <f t="shared" si="14"/>
        <v>-742.69421284476994</v>
      </c>
      <c r="N46" s="2">
        <f t="shared" si="14"/>
        <v>-32373.711046394397</v>
      </c>
      <c r="O46" s="2">
        <f t="shared" si="14"/>
        <v>-26865.311834874177</v>
      </c>
      <c r="P46" s="2">
        <f t="shared" si="14"/>
        <v>-26196.416532839932</v>
      </c>
      <c r="Q46" s="2">
        <f t="shared" si="14"/>
        <v>-15489.761983332472</v>
      </c>
      <c r="R46" s="2">
        <f t="shared" si="14"/>
        <v>-9702.8090972930804</v>
      </c>
      <c r="S46" s="2">
        <f t="shared" si="14"/>
        <v>-3787.7594157940475</v>
      </c>
      <c r="T46" s="2">
        <f t="shared" si="14"/>
        <v>2309.6149326458835</v>
      </c>
      <c r="U46" s="2">
        <f t="shared" si="14"/>
        <v>5651.3329940860422</v>
      </c>
      <c r="V46" s="2">
        <f t="shared" si="14"/>
        <v>12308.79543489957</v>
      </c>
      <c r="W46" s="2">
        <f t="shared" si="14"/>
        <v>19364.647126492695</v>
      </c>
      <c r="X46" s="2">
        <f t="shared" si="14"/>
        <v>26914.963019083647</v>
      </c>
      <c r="Y46" s="2">
        <f t="shared" si="14"/>
        <v>38063.932820427319</v>
      </c>
      <c r="Z46" s="2">
        <f t="shared" si="14"/>
        <v>25537.768514782831</v>
      </c>
      <c r="AA46" s="2">
        <f t="shared" si="14"/>
        <v>36522.327199993073</v>
      </c>
      <c r="AB46" s="2">
        <f t="shared" si="14"/>
        <v>48599.205347833122</v>
      </c>
      <c r="AC46" s="2">
        <f t="shared" si="14"/>
        <v>61986.951605352428</v>
      </c>
      <c r="AD46" s="2">
        <f t="shared" si="14"/>
        <v>56280.238787942915</v>
      </c>
      <c r="AE46" s="2">
        <f t="shared" si="14"/>
        <v>70702.211977861851</v>
      </c>
      <c r="AF46" s="2">
        <f t="shared" si="14"/>
        <v>86961.980717661529</v>
      </c>
      <c r="AG46" s="16">
        <f t="shared" si="14"/>
        <v>106232.51892338693</v>
      </c>
      <c r="AH46" s="16">
        <f t="shared" si="14"/>
        <v>129631.91601509679</v>
      </c>
      <c r="AI46" s="16">
        <f t="shared" si="14"/>
        <v>156492.40684632424</v>
      </c>
      <c r="AJ46" s="16">
        <f t="shared" si="14"/>
        <v>187453.4323370675</v>
      </c>
      <c r="AK46" s="16">
        <f t="shared" si="14"/>
        <v>223268.92952779992</v>
      </c>
      <c r="AL46" s="16">
        <f>SUM(B46:M46)</f>
        <v>-105834.55108727275</v>
      </c>
      <c r="AM46" s="16">
        <f>SUM(N46:Y46)</f>
        <v>-9802.4835828929499</v>
      </c>
      <c r="AN46" s="16">
        <f>SUM(Z46:AK46)</f>
        <v>1189669.8878011031</v>
      </c>
    </row>
    <row r="47" spans="1:41" ht="15" customHeight="1" x14ac:dyDescent="0.2">
      <c r="A47" s="3" t="s">
        <v>97</v>
      </c>
      <c r="B47" s="19">
        <f>Assumptions!C73</f>
        <v>350000</v>
      </c>
      <c r="C47" s="16">
        <f>IF(2=Assumptions!C74,Assumptions!C75,0)</f>
        <v>0</v>
      </c>
      <c r="D47" s="16">
        <f>IF(3=Assumptions!C74,Assumptions!C75,0)</f>
        <v>0</v>
      </c>
      <c r="E47" s="16">
        <f>IF(4=Assumptions!C74,Assumptions!C75,0)</f>
        <v>0</v>
      </c>
      <c r="F47" s="16">
        <f>IF(5=Assumptions!C74,Assumptions!C75,0)</f>
        <v>0</v>
      </c>
      <c r="G47" s="16">
        <f>IF(6=Assumptions!C74,Assumptions!C75,0)</f>
        <v>0</v>
      </c>
      <c r="H47" s="16">
        <f>IF(7=Assumptions!C74,Assumptions!C75,0)</f>
        <v>0</v>
      </c>
      <c r="I47" s="16">
        <f>IF(8=Assumptions!C74,Assumptions!C75,0)</f>
        <v>0</v>
      </c>
      <c r="J47" s="16">
        <f>IF(9=Assumptions!C74,Assumptions!C75,0)</f>
        <v>0</v>
      </c>
      <c r="K47" s="16">
        <f>IF(10=Assumptions!C74,Assumptions!C75,0)</f>
        <v>0</v>
      </c>
      <c r="L47" s="16">
        <f>IF(11=Assumptions!C74,Assumptions!C75,0)</f>
        <v>0</v>
      </c>
      <c r="M47" s="16">
        <f>IF(12=Assumptions!C74,Assumptions!C75,0)</f>
        <v>0</v>
      </c>
      <c r="N47" s="19">
        <f>IF(13=Assumptions!C74,Assumptions!C75,0)</f>
        <v>1500000</v>
      </c>
      <c r="O47" s="16">
        <f>IF(14=Assumptions!C74,Assumptions!C75,0)</f>
        <v>0</v>
      </c>
      <c r="P47" s="16">
        <f>IF(15=Assumptions!C74,Assumptions!C75,0)</f>
        <v>0</v>
      </c>
      <c r="Q47" s="16">
        <f>IF(16=Assumptions!C74,Assumptions!C75,0)</f>
        <v>0</v>
      </c>
      <c r="R47" s="16">
        <f>IF(17=Assumptions!C74,Assumptions!C75,0)</f>
        <v>0</v>
      </c>
      <c r="S47" s="16">
        <f>IF(18=Assumptions!C74,Assumptions!C75,0)</f>
        <v>0</v>
      </c>
      <c r="T47" s="16">
        <f>IF(19=Assumptions!C74,Assumptions!C75,0)</f>
        <v>0</v>
      </c>
      <c r="U47" s="16">
        <f>IF(20=Assumptions!C74,Assumptions!C75,0)</f>
        <v>0</v>
      </c>
      <c r="V47" s="16">
        <f>IF(21=Assumptions!C74,Assumptions!C75,0)</f>
        <v>0</v>
      </c>
      <c r="W47" s="16">
        <f>IF(22=Assumptions!C74,Assumptions!C75,0)</f>
        <v>0</v>
      </c>
      <c r="X47" s="16">
        <f>IF(23=Assumptions!C74,Assumptions!C75,0)</f>
        <v>0</v>
      </c>
      <c r="Y47" s="16">
        <f>IF(24=Assumptions!C74,Assumptions!C75,0)</f>
        <v>0</v>
      </c>
      <c r="Z47" s="16">
        <f>IF(25=Assumptions!C74,Assumptions!C75,0)</f>
        <v>0</v>
      </c>
      <c r="AA47" s="16">
        <f>IF(26=Assumptions!C74,Assumptions!C75,0)</f>
        <v>0</v>
      </c>
      <c r="AB47" s="16">
        <f>IF(27=Assumptions!C74,Assumptions!C75,0)</f>
        <v>0</v>
      </c>
      <c r="AC47" s="16">
        <f>IF(28=Assumptions!C74,Assumptions!C75,0)</f>
        <v>0</v>
      </c>
      <c r="AD47" s="16">
        <f>IF(29=Assumptions!C74,Assumptions!C75,0)</f>
        <v>0</v>
      </c>
      <c r="AE47" s="16">
        <f>IF(30=Assumptions!C74,Assumptions!C75,0)</f>
        <v>0</v>
      </c>
      <c r="AF47" s="16">
        <f>IF(31=Assumptions!C74,Assumptions!C75,0)</f>
        <v>0</v>
      </c>
      <c r="AG47" s="16">
        <f>IF(32=Assumptions!C74,Assumptions!C75,0)</f>
        <v>0</v>
      </c>
      <c r="AH47" s="16">
        <f>IF(33=Assumptions!C74,Assumptions!C75,0)</f>
        <v>0</v>
      </c>
      <c r="AI47" s="16">
        <f>IF(34=Assumptions!C74,Assumptions!C75,0)</f>
        <v>0</v>
      </c>
      <c r="AJ47" s="16">
        <f>IF(35=Assumptions!C74,Assumptions!C75,0)</f>
        <v>0</v>
      </c>
      <c r="AK47" s="16">
        <f>IF(36=Assumptions!C74,Assumptions!C75,0)</f>
        <v>0</v>
      </c>
      <c r="AL47" s="16">
        <f>SUM(B47:M47)</f>
        <v>350000</v>
      </c>
      <c r="AM47" s="16">
        <f>SUM(N47:Y47)</f>
        <v>1500000</v>
      </c>
      <c r="AN47" s="16">
        <f>SUM(Z47:AK47)</f>
        <v>0</v>
      </c>
      <c r="AO47" t="s">
        <v>98</v>
      </c>
    </row>
    <row r="48" spans="1:41" ht="15" customHeight="1" x14ac:dyDescent="0.2">
      <c r="A48" s="13" t="s">
        <v>99</v>
      </c>
      <c r="B48" s="9">
        <f>B46+B47</f>
        <v>347182.87359999999</v>
      </c>
      <c r="C48" s="9">
        <f t="shared" ref="C48:AK48" si="15">B48+C46+C47</f>
        <v>344454.51331199997</v>
      </c>
      <c r="D48" s="9">
        <f t="shared" si="15"/>
        <v>335945.55555423995</v>
      </c>
      <c r="E48" s="9">
        <f t="shared" si="15"/>
        <v>317193.95047583804</v>
      </c>
      <c r="F48" s="9">
        <f t="shared" si="15"/>
        <v>300324.1846274116</v>
      </c>
      <c r="G48" s="9">
        <f t="shared" si="15"/>
        <v>285735.70949720353</v>
      </c>
      <c r="H48" s="9">
        <f t="shared" si="15"/>
        <v>272496.83568035171</v>
      </c>
      <c r="I48" s="9">
        <f t="shared" si="15"/>
        <v>261852.79428420431</v>
      </c>
      <c r="J48" s="9">
        <f t="shared" si="15"/>
        <v>253735.31662012631</v>
      </c>
      <c r="K48" s="9">
        <f t="shared" si="15"/>
        <v>248096.23668315518</v>
      </c>
      <c r="L48" s="9">
        <f t="shared" si="15"/>
        <v>244908.14312557195</v>
      </c>
      <c r="M48" s="9">
        <f t="shared" si="15"/>
        <v>244165.44891272718</v>
      </c>
      <c r="N48" s="9">
        <f t="shared" si="15"/>
        <v>1711791.7378663328</v>
      </c>
      <c r="O48" s="9">
        <f t="shared" si="15"/>
        <v>1684926.4260314587</v>
      </c>
      <c r="P48" s="9">
        <f t="shared" si="15"/>
        <v>1658730.0094986188</v>
      </c>
      <c r="Q48" s="9">
        <f t="shared" si="15"/>
        <v>1643240.2475152863</v>
      </c>
      <c r="R48" s="9">
        <f t="shared" si="15"/>
        <v>1633537.4384179933</v>
      </c>
      <c r="S48" s="9">
        <f t="shared" si="15"/>
        <v>1629749.6790021993</v>
      </c>
      <c r="T48" s="9">
        <f t="shared" si="15"/>
        <v>1632059.2939348451</v>
      </c>
      <c r="U48" s="9">
        <f t="shared" si="15"/>
        <v>1637710.6269289311</v>
      </c>
      <c r="V48" s="9">
        <f t="shared" si="15"/>
        <v>1650019.4223638307</v>
      </c>
      <c r="W48" s="9">
        <f t="shared" si="15"/>
        <v>1669384.0694903233</v>
      </c>
      <c r="X48" s="9">
        <f t="shared" si="15"/>
        <v>1696299.032509407</v>
      </c>
      <c r="Y48" s="9">
        <f t="shared" si="15"/>
        <v>1734362.9653298343</v>
      </c>
      <c r="Z48" s="9">
        <f t="shared" si="15"/>
        <v>1759900.7338446171</v>
      </c>
      <c r="AA48" s="9">
        <f t="shared" si="15"/>
        <v>1796423.0610446101</v>
      </c>
      <c r="AB48" s="9">
        <f t="shared" si="15"/>
        <v>1845022.2663924433</v>
      </c>
      <c r="AC48" s="9">
        <f t="shared" si="15"/>
        <v>1907009.2179977957</v>
      </c>
      <c r="AD48" s="9">
        <f t="shared" si="15"/>
        <v>1963289.4567857385</v>
      </c>
      <c r="AE48" s="9">
        <f t="shared" si="15"/>
        <v>2033991.6687636003</v>
      </c>
      <c r="AF48" s="9">
        <f t="shared" si="15"/>
        <v>2120953.6494812616</v>
      </c>
      <c r="AG48" s="9">
        <f t="shared" si="15"/>
        <v>2227186.1684046485</v>
      </c>
      <c r="AH48" s="9">
        <f t="shared" si="15"/>
        <v>2356818.0844197455</v>
      </c>
      <c r="AI48" s="9">
        <f t="shared" si="15"/>
        <v>2513310.4912660699</v>
      </c>
      <c r="AJ48" s="9">
        <f t="shared" si="15"/>
        <v>2700763.9236031375</v>
      </c>
      <c r="AK48" s="9">
        <f t="shared" si="15"/>
        <v>2924032.8531309376</v>
      </c>
      <c r="AL48" s="9">
        <f>M48</f>
        <v>244165.44891272718</v>
      </c>
      <c r="AM48" s="9">
        <f>Y48</f>
        <v>1734362.9653298343</v>
      </c>
      <c r="AN48" s="9">
        <f>AK48</f>
        <v>2924032.8531309376</v>
      </c>
    </row>
    <row r="50" spans="1:41" ht="15" customHeight="1" x14ac:dyDescent="0.2">
      <c r="A50" s="30" t="s">
        <v>100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</row>
    <row r="51" spans="1:41" ht="15" customHeight="1" x14ac:dyDescent="0.2">
      <c r="A51" s="13" t="s">
        <v>101</v>
      </c>
      <c r="B51" s="20">
        <f>Assumptions!C4*(1-Assumptions!C41)/AVERAGE(N9:Y9)</f>
        <v>56.971121558092683</v>
      </c>
      <c r="AO51" t="s">
        <v>102</v>
      </c>
    </row>
    <row r="52" spans="1:41" ht="15" customHeight="1" x14ac:dyDescent="0.2">
      <c r="A52" s="13" t="s">
        <v>103</v>
      </c>
      <c r="B52" s="20">
        <f>Assumptions!C5*(1-Assumptions!C41)/Assumptions!C27</f>
        <v>276.03749999999997</v>
      </c>
    </row>
    <row r="53" spans="1:41" ht="15" customHeight="1" x14ac:dyDescent="0.2">
      <c r="A53" s="13" t="s">
        <v>104</v>
      </c>
      <c r="B53" s="20">
        <f>Assumptions!C15</f>
        <v>20</v>
      </c>
    </row>
    <row r="54" spans="1:41" ht="15" customHeight="1" x14ac:dyDescent="0.2">
      <c r="A54" s="13" t="s">
        <v>105</v>
      </c>
      <c r="B54" s="21">
        <f>IF(B53=0,0,B51/B53)</f>
        <v>2.8485560779046342</v>
      </c>
      <c r="AO54" t="s">
        <v>106</v>
      </c>
    </row>
    <row r="55" spans="1:41" ht="15" customHeight="1" x14ac:dyDescent="0.2">
      <c r="A55" s="3" t="s">
        <v>107</v>
      </c>
      <c r="B55" s="22">
        <f>IF(B53=0,0,B53/(Assumptions!C4*(1-Assumptions!C41)))</f>
        <v>4.7153129788989743</v>
      </c>
    </row>
    <row r="56" spans="1:41" ht="27.75" customHeight="1" x14ac:dyDescent="0.2">
      <c r="A56" s="3" t="s">
        <v>108</v>
      </c>
      <c r="B56" s="4">
        <v>4.2</v>
      </c>
    </row>
    <row r="57" spans="1:41" ht="15" customHeight="1" x14ac:dyDescent="0.2">
      <c r="A57" s="3" t="s">
        <v>109</v>
      </c>
      <c r="B57" s="23">
        <f>IF(B56=0,0,B51/B56)</f>
        <v>13.564552751926829</v>
      </c>
    </row>
  </sheetData>
  <mergeCells count="6">
    <mergeCell ref="A1:AM1"/>
    <mergeCell ref="A28:AO28"/>
    <mergeCell ref="A44:AO44"/>
    <mergeCell ref="A17:AO17"/>
    <mergeCell ref="A50:AO50"/>
    <mergeCell ref="A4:AO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7"/>
  <sheetViews>
    <sheetView zoomScaleNormal="100" workbookViewId="0">
      <pane xSplit="1" ySplit="3" topLeftCell="AC4" activePane="bottomRight" state="frozen"/>
      <selection pane="topRight" activeCell="AM1" sqref="AM1"/>
      <selection pane="bottomLeft" activeCell="A4" sqref="A4"/>
      <selection pane="bottomRight" activeCell="AE9" sqref="AE9"/>
    </sheetView>
  </sheetViews>
  <sheetFormatPr baseColWidth="10" defaultColWidth="8.6640625" defaultRowHeight="15" x14ac:dyDescent="0.2"/>
  <cols>
    <col min="1" max="1" width="55" customWidth="1"/>
    <col min="2" max="37" width="9" customWidth="1"/>
    <col min="38" max="40" width="12" customWidth="1"/>
    <col min="41" max="41" width="55" customWidth="1"/>
  </cols>
  <sheetData>
    <row r="1" spans="1:41" ht="15" customHeight="1" x14ac:dyDescent="0.2">
      <c r="A1" s="30" t="s">
        <v>191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</row>
    <row r="2" spans="1:41" ht="1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</row>
    <row r="3" spans="1:41" ht="15" customHeight="1" x14ac:dyDescent="0.2">
      <c r="A3" s="9" t="s">
        <v>42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2</v>
      </c>
      <c r="O3" s="10">
        <v>2</v>
      </c>
      <c r="P3" s="10">
        <v>2</v>
      </c>
      <c r="Q3" s="10">
        <v>2</v>
      </c>
      <c r="R3" s="10">
        <v>2</v>
      </c>
      <c r="S3" s="10">
        <v>2</v>
      </c>
      <c r="T3" s="10">
        <v>2</v>
      </c>
      <c r="U3" s="10">
        <v>2</v>
      </c>
      <c r="V3" s="10">
        <v>2</v>
      </c>
      <c r="W3" s="10">
        <v>2</v>
      </c>
      <c r="X3" s="10">
        <v>2</v>
      </c>
      <c r="Y3" s="10">
        <v>2</v>
      </c>
      <c r="Z3" s="10">
        <v>3</v>
      </c>
      <c r="AA3" s="10">
        <v>3</v>
      </c>
      <c r="AB3" s="10">
        <v>3</v>
      </c>
      <c r="AC3" s="10">
        <v>3</v>
      </c>
      <c r="AD3" s="10">
        <v>3</v>
      </c>
      <c r="AE3" s="10">
        <v>3</v>
      </c>
      <c r="AF3" s="10">
        <v>3</v>
      </c>
      <c r="AG3" s="10">
        <v>3</v>
      </c>
      <c r="AH3" s="10">
        <v>3</v>
      </c>
      <c r="AI3" s="10">
        <v>3</v>
      </c>
      <c r="AJ3" s="10">
        <v>3</v>
      </c>
      <c r="AK3" s="10">
        <v>3</v>
      </c>
    </row>
    <row r="4" spans="1:41" ht="15" customHeight="1" x14ac:dyDescent="0.2">
      <c r="A4" s="30" t="s">
        <v>43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</row>
    <row r="5" spans="1:41" ht="15" customHeight="1" x14ac:dyDescent="0.2">
      <c r="A5" s="3" t="s">
        <v>44</v>
      </c>
      <c r="B5" s="11">
        <f>Assumptions!D9</f>
        <v>350</v>
      </c>
      <c r="C5" s="11">
        <f>B5*(1+Assumptions!D10)</f>
        <v>416.5</v>
      </c>
      <c r="D5" s="11">
        <f>C5*(1+Assumptions!D10)</f>
        <v>495.63499999999999</v>
      </c>
      <c r="E5" s="11">
        <f>D5*(1+Assumptions!D10)</f>
        <v>589.80565000000001</v>
      </c>
      <c r="F5" s="11">
        <f>E5*(1+Assumptions!D10)</f>
        <v>701.86872349999999</v>
      </c>
      <c r="G5" s="11">
        <f>F5*(1+Assumptions!D10)</f>
        <v>835.22378096499995</v>
      </c>
      <c r="H5" s="11">
        <f>G5*(1+Assumptions!D10)</f>
        <v>993.91629934834987</v>
      </c>
      <c r="I5" s="11">
        <f>H5*(1+Assumptions!D10)</f>
        <v>1182.7603962245362</v>
      </c>
      <c r="J5" s="11">
        <f>I5*(1+Assumptions!D10)</f>
        <v>1407.484871507198</v>
      </c>
      <c r="K5" s="11">
        <f>J5*(1+Assumptions!D10)</f>
        <v>1674.9069970935657</v>
      </c>
      <c r="L5" s="11">
        <f>K5*(1+Assumptions!D10)</f>
        <v>1993.1393265413431</v>
      </c>
      <c r="M5" s="11">
        <f>L5*(1+Assumptions!D10)</f>
        <v>2371.8357985841981</v>
      </c>
      <c r="N5" s="11">
        <f>M5*(1+Assumptions!D10)</f>
        <v>2822.4846003151956</v>
      </c>
      <c r="O5" s="11">
        <f>N5*(1+Assumptions!D10)</f>
        <v>3358.7566743750826</v>
      </c>
      <c r="P5" s="11">
        <f>O5*(1+Assumptions!D10)</f>
        <v>3996.9204425063481</v>
      </c>
      <c r="Q5" s="11">
        <f>P5*(1+Assumptions!D10)</f>
        <v>4756.3353265825544</v>
      </c>
      <c r="R5" s="11">
        <f>Q5*(1+Assumptions!D10)</f>
        <v>5660.0390386332392</v>
      </c>
      <c r="S5" s="11">
        <f>R5*(1+Assumptions!D10)</f>
        <v>6735.4464559735543</v>
      </c>
      <c r="T5" s="11">
        <f>S5*(1+Assumptions!D10)</f>
        <v>8015.1812826085288</v>
      </c>
      <c r="U5" s="11">
        <f>T5*(1+Assumptions!D10)</f>
        <v>9538.0657263041485</v>
      </c>
      <c r="V5" s="11">
        <f>U5*(1+Assumptions!D10)</f>
        <v>11350.298214301936</v>
      </c>
      <c r="W5" s="11">
        <f>V5*(1+Assumptions!D10)</f>
        <v>13506.854875019304</v>
      </c>
      <c r="X5" s="11">
        <f>W5*(1+Assumptions!D10)</f>
        <v>16073.157301272971</v>
      </c>
      <c r="Y5" s="11">
        <f>X5*(1+Assumptions!D10)</f>
        <v>19127.057188514835</v>
      </c>
      <c r="Z5" s="11">
        <f>Y5*(1+Assumptions!D10)</f>
        <v>22761.198054332654</v>
      </c>
      <c r="AA5" s="11">
        <f>Z5*(1+Assumptions!D10)</f>
        <v>27085.825684655858</v>
      </c>
      <c r="AB5" s="11">
        <f>AA5*(1+Assumptions!D10)</f>
        <v>32232.13256474047</v>
      </c>
      <c r="AC5" s="11">
        <f>AB5*(1+Assumptions!D10)</f>
        <v>38356.237752041161</v>
      </c>
      <c r="AD5" s="11">
        <f>AC5*(1+Assumptions!D10)</f>
        <v>45643.922924928978</v>
      </c>
      <c r="AE5" s="11">
        <f>AD5*(1+Assumptions!D10)</f>
        <v>54316.268280665485</v>
      </c>
      <c r="AF5" s="11">
        <f>AE5*(1+Assumptions!D10)</f>
        <v>64636.359253991926</v>
      </c>
      <c r="AG5" s="11">
        <f>AF5*(1+Assumptions!D10)</f>
        <v>76917.267512250386</v>
      </c>
      <c r="AH5" s="11">
        <f>AG5*(1+Assumptions!D10)</f>
        <v>91531.548339577959</v>
      </c>
      <c r="AI5" s="11">
        <f>AH5*(1+Assumptions!D10)</f>
        <v>108922.54252409776</v>
      </c>
      <c r="AJ5" s="11">
        <f>AI5*(1+Assumptions!D10)</f>
        <v>129617.82560367633</v>
      </c>
      <c r="AK5" s="11">
        <f>AJ5*(1+Assumptions!D10)</f>
        <v>154245.21246837484</v>
      </c>
      <c r="AL5" s="11">
        <f>SUM(B5:M5)</f>
        <v>13013.076843764191</v>
      </c>
      <c r="AM5" s="11">
        <f>SUM(N5:Y5)</f>
        <v>104940.59712640771</v>
      </c>
      <c r="AN5" s="11">
        <f>SUM(Z5:AK5)</f>
        <v>846266.34096333396</v>
      </c>
      <c r="AO5" t="s">
        <v>45</v>
      </c>
    </row>
    <row r="6" spans="1:41" ht="27.75" customHeight="1" x14ac:dyDescent="0.2">
      <c r="A6" s="3" t="s">
        <v>46</v>
      </c>
      <c r="B6" s="11">
        <f>B5*Assumptions!D11</f>
        <v>49.000000000000007</v>
      </c>
      <c r="C6" s="11">
        <f>C5*Assumptions!D11</f>
        <v>58.31</v>
      </c>
      <c r="D6" s="11">
        <f>D5*Assumptions!D11</f>
        <v>69.388900000000007</v>
      </c>
      <c r="E6" s="11">
        <f>E5*Assumptions!D11</f>
        <v>82.572791000000009</v>
      </c>
      <c r="F6" s="11">
        <f>F5*Assumptions!D11</f>
        <v>98.261621290000008</v>
      </c>
      <c r="G6" s="11">
        <f>G5*Assumptions!D11</f>
        <v>116.9313293351</v>
      </c>
      <c r="H6" s="11">
        <f>H5*Assumptions!D11</f>
        <v>139.14828190876901</v>
      </c>
      <c r="I6" s="11">
        <f>I5*Assumptions!D11</f>
        <v>165.58645547143507</v>
      </c>
      <c r="J6" s="11">
        <f>J5*Assumptions!D11</f>
        <v>197.04788201100774</v>
      </c>
      <c r="K6" s="11">
        <f>K5*Assumptions!D11</f>
        <v>234.48697959309922</v>
      </c>
      <c r="L6" s="11">
        <f>L5*Assumptions!D11</f>
        <v>279.03950571578804</v>
      </c>
      <c r="M6" s="11">
        <f>M5*Assumptions!D11</f>
        <v>332.05701180178778</v>
      </c>
      <c r="N6" s="11">
        <f>N5*Assumptions!D11</f>
        <v>395.14784404412745</v>
      </c>
      <c r="O6" s="11">
        <f>O5*Assumptions!D11</f>
        <v>470.22593441251161</v>
      </c>
      <c r="P6" s="11">
        <f>P5*Assumptions!D11</f>
        <v>559.56886195088873</v>
      </c>
      <c r="Q6" s="11">
        <f>Q5*Assumptions!D11</f>
        <v>665.88694572155771</v>
      </c>
      <c r="R6" s="11">
        <f>R5*Assumptions!D11</f>
        <v>792.40546540865353</v>
      </c>
      <c r="S6" s="11">
        <f>S5*Assumptions!D11</f>
        <v>942.96250383629774</v>
      </c>
      <c r="T6" s="11">
        <f>T5*Assumptions!D11</f>
        <v>1122.1253795651942</v>
      </c>
      <c r="U6" s="11">
        <f>U5*Assumptions!D11</f>
        <v>1335.329201682581</v>
      </c>
      <c r="V6" s="11">
        <f>V5*Assumptions!D11</f>
        <v>1589.0417500022713</v>
      </c>
      <c r="W6" s="11">
        <f>W5*Assumptions!D11</f>
        <v>1890.9596825027027</v>
      </c>
      <c r="X6" s="11">
        <f>X5*Assumptions!D11</f>
        <v>2250.2420221782163</v>
      </c>
      <c r="Y6" s="11">
        <f>Y5*Assumptions!D11</f>
        <v>2677.788006392077</v>
      </c>
      <c r="Z6" s="11">
        <f>Z5*Assumptions!D11</f>
        <v>3186.5677276065717</v>
      </c>
      <c r="AA6" s="11">
        <f>AA5*Assumptions!D11</f>
        <v>3792.0155958518203</v>
      </c>
      <c r="AB6" s="11">
        <f>AB5*Assumptions!D11</f>
        <v>4512.4985590636661</v>
      </c>
      <c r="AC6" s="11">
        <f>AC5*Assumptions!D11</f>
        <v>5369.8732852857629</v>
      </c>
      <c r="AD6" s="11">
        <f>AD5*Assumptions!D11</f>
        <v>6390.1492094900577</v>
      </c>
      <c r="AE6" s="11">
        <f>AE5*Assumptions!D11</f>
        <v>7604.2775592931685</v>
      </c>
      <c r="AF6" s="11">
        <f>AF5*Assumptions!D11</f>
        <v>9049.0902955588699</v>
      </c>
      <c r="AG6" s="11">
        <f>AG5*Assumptions!D11</f>
        <v>10768.417451715055</v>
      </c>
      <c r="AH6" s="11">
        <f>AH5*Assumptions!D11</f>
        <v>12814.416767540915</v>
      </c>
      <c r="AI6" s="11">
        <f>AI5*Assumptions!D11</f>
        <v>15249.155953373689</v>
      </c>
      <c r="AJ6" s="11">
        <f>AJ5*Assumptions!D11</f>
        <v>18146.495584514687</v>
      </c>
      <c r="AK6" s="11">
        <f>AK5*Assumptions!D11</f>
        <v>21594.329745572479</v>
      </c>
      <c r="AL6" s="11">
        <f>SUM(B6:M6)</f>
        <v>1821.8307581269869</v>
      </c>
      <c r="AM6" s="11">
        <f>SUM(N6:Y6)</f>
        <v>14691.683597697078</v>
      </c>
      <c r="AN6" s="11">
        <f>SUM(Z6:AK6)</f>
        <v>118477.28773486674</v>
      </c>
      <c r="AO6" t="s">
        <v>47</v>
      </c>
    </row>
    <row r="7" spans="1:41" ht="15" customHeight="1" x14ac:dyDescent="0.2">
      <c r="A7" s="3" t="s">
        <v>48</v>
      </c>
      <c r="B7" s="11">
        <f>0</f>
        <v>0</v>
      </c>
      <c r="C7" s="11">
        <f>0</f>
        <v>0</v>
      </c>
      <c r="D7" s="11">
        <f>0</f>
        <v>0</v>
      </c>
      <c r="E7" s="11">
        <f>Assumptions!D12/Assumptions!D15</f>
        <v>733.33333333333337</v>
      </c>
      <c r="F7" s="11">
        <f>Assumptions!D12/Assumptions!D15</f>
        <v>733.33333333333337</v>
      </c>
      <c r="G7" s="11">
        <f>Assumptions!D12/Assumptions!D15</f>
        <v>733.33333333333337</v>
      </c>
      <c r="H7" s="11">
        <f>Assumptions!D12/Assumptions!D15</f>
        <v>733.33333333333337</v>
      </c>
      <c r="I7" s="11">
        <f>Assumptions!D12/Assumptions!D15</f>
        <v>733.33333333333337</v>
      </c>
      <c r="J7" s="11">
        <f>Assumptions!D12/Assumptions!D15</f>
        <v>733.33333333333337</v>
      </c>
      <c r="K7" s="11">
        <f>Assumptions!D12/Assumptions!D15</f>
        <v>733.33333333333337</v>
      </c>
      <c r="L7" s="11">
        <f>Assumptions!D12/Assumptions!D15</f>
        <v>733.33333333333337</v>
      </c>
      <c r="M7" s="11">
        <f>Assumptions!D12/Assumptions!D15</f>
        <v>733.33333333333337</v>
      </c>
      <c r="N7" s="11">
        <f>Assumptions!D13/Assumptions!D16</f>
        <v>1555.5555555555557</v>
      </c>
      <c r="O7" s="11">
        <f>Assumptions!D13/Assumptions!D16</f>
        <v>1555.5555555555557</v>
      </c>
      <c r="P7" s="11">
        <f>Assumptions!D13/Assumptions!D16</f>
        <v>1555.5555555555557</v>
      </c>
      <c r="Q7" s="11">
        <f>Assumptions!D13/Assumptions!D16</f>
        <v>1555.5555555555557</v>
      </c>
      <c r="R7" s="11">
        <f>Assumptions!D13/Assumptions!D16</f>
        <v>1555.5555555555557</v>
      </c>
      <c r="S7" s="11">
        <f>Assumptions!D13/Assumptions!D16</f>
        <v>1555.5555555555557</v>
      </c>
      <c r="T7" s="11">
        <f>Assumptions!D13/Assumptions!D16</f>
        <v>1555.5555555555557</v>
      </c>
      <c r="U7" s="11">
        <f>Assumptions!D13/Assumptions!D16</f>
        <v>1555.5555555555557</v>
      </c>
      <c r="V7" s="11">
        <f>Assumptions!D13/Assumptions!D16</f>
        <v>1555.5555555555557</v>
      </c>
      <c r="W7" s="11">
        <f>Assumptions!D13/Assumptions!D16</f>
        <v>1555.5555555555557</v>
      </c>
      <c r="X7" s="11">
        <f>Assumptions!D13/Assumptions!D16</f>
        <v>1555.5555555555557</v>
      </c>
      <c r="Y7" s="11">
        <f>Assumptions!D13/Assumptions!D16</f>
        <v>1555.5555555555557</v>
      </c>
      <c r="Z7" s="11">
        <f>Assumptions!D14/Assumptions!D16</f>
        <v>1166.6666666666667</v>
      </c>
      <c r="AA7" s="11">
        <f>Assumptions!D14/Assumptions!D16</f>
        <v>1166.6666666666667</v>
      </c>
      <c r="AB7" s="11">
        <f>Assumptions!D14/Assumptions!D16</f>
        <v>1166.6666666666667</v>
      </c>
      <c r="AC7" s="11">
        <f>Assumptions!D14/Assumptions!D16</f>
        <v>1166.6666666666667</v>
      </c>
      <c r="AD7" s="11">
        <f>Assumptions!D14/Assumptions!D16</f>
        <v>1166.6666666666667</v>
      </c>
      <c r="AE7" s="11">
        <f>Assumptions!D14/Assumptions!D16</f>
        <v>1166.6666666666667</v>
      </c>
      <c r="AF7" s="11">
        <f>Assumptions!D14/Assumptions!D16</f>
        <v>1166.6666666666667</v>
      </c>
      <c r="AG7" s="11">
        <f>Assumptions!D14/Assumptions!D16</f>
        <v>1166.6666666666667</v>
      </c>
      <c r="AH7" s="11">
        <f>Assumptions!D14/Assumptions!D16</f>
        <v>1166.6666666666667</v>
      </c>
      <c r="AI7" s="11">
        <f>Assumptions!D14/Assumptions!D16</f>
        <v>1166.6666666666667</v>
      </c>
      <c r="AJ7" s="11">
        <f>Assumptions!D14/Assumptions!D16</f>
        <v>1166.6666666666667</v>
      </c>
      <c r="AK7" s="11">
        <f>Assumptions!D14/Assumptions!D16</f>
        <v>1166.6666666666667</v>
      </c>
      <c r="AL7" s="11">
        <f>SUM(B7:M7)</f>
        <v>6599.9999999999991</v>
      </c>
      <c r="AM7" s="11">
        <f>SUM(N7:Y7)</f>
        <v>18666.666666666664</v>
      </c>
      <c r="AN7" s="11">
        <f>SUM(Z7:AK7)</f>
        <v>13999.999999999998</v>
      </c>
      <c r="AO7" t="s">
        <v>49</v>
      </c>
    </row>
    <row r="8" spans="1:41" ht="15" customHeight="1" x14ac:dyDescent="0.2">
      <c r="A8" s="3" t="s">
        <v>50</v>
      </c>
      <c r="B8" s="12">
        <f>0</f>
        <v>0</v>
      </c>
      <c r="C8" s="12">
        <f>0</f>
        <v>0</v>
      </c>
      <c r="D8" s="12">
        <f>0</f>
        <v>0</v>
      </c>
      <c r="E8" s="12">
        <f>MIN(Assumptions!D22,1*Assumptions!D21)</f>
        <v>0.02</v>
      </c>
      <c r="F8" s="12">
        <f>MIN(Assumptions!D22,2*Assumptions!D21)</f>
        <v>0.04</v>
      </c>
      <c r="G8" s="12">
        <f>MIN(Assumptions!D22,3*Assumptions!D21)</f>
        <v>0.06</v>
      </c>
      <c r="H8" s="12">
        <f>MIN(Assumptions!D22,4*Assumptions!D21)</f>
        <v>0.08</v>
      </c>
      <c r="I8" s="12">
        <f>MIN(Assumptions!D22,5*Assumptions!D21)</f>
        <v>0.1</v>
      </c>
      <c r="J8" s="12">
        <f>MIN(Assumptions!D22,6*Assumptions!D21)</f>
        <v>0.12</v>
      </c>
      <c r="K8" s="12">
        <f>MIN(Assumptions!D22,7*Assumptions!D21)</f>
        <v>0.14000000000000001</v>
      </c>
      <c r="L8" s="12">
        <f>MIN(Assumptions!D22,8*Assumptions!D21)</f>
        <v>0.16</v>
      </c>
      <c r="M8" s="12">
        <f>MIN(Assumptions!D22,9*Assumptions!D21)</f>
        <v>0.18</v>
      </c>
      <c r="N8" s="12">
        <f>MIN(Assumptions!D22,10*Assumptions!D21)</f>
        <v>0.2</v>
      </c>
      <c r="O8" s="12">
        <f>MIN(Assumptions!D22,11*Assumptions!D21)</f>
        <v>0.22</v>
      </c>
      <c r="P8" s="12">
        <f>MIN(Assumptions!D22,12*Assumptions!D21)</f>
        <v>0.24</v>
      </c>
      <c r="Q8" s="12">
        <f>MIN(Assumptions!D22,13*Assumptions!D21)</f>
        <v>0.26</v>
      </c>
      <c r="R8" s="12">
        <f>MIN(Assumptions!D22,14*Assumptions!D21)</f>
        <v>0.28000000000000003</v>
      </c>
      <c r="S8" s="12">
        <f>MIN(Assumptions!D22,15*Assumptions!D21)</f>
        <v>0.3</v>
      </c>
      <c r="T8" s="12">
        <f>MIN(Assumptions!D22,16*Assumptions!D21)</f>
        <v>0.32</v>
      </c>
      <c r="U8" s="12">
        <f>MIN(Assumptions!D22,17*Assumptions!D21)</f>
        <v>0.34</v>
      </c>
      <c r="V8" s="12">
        <f>MIN(Assumptions!D22,18*Assumptions!D21)</f>
        <v>0.36</v>
      </c>
      <c r="W8" s="12">
        <f>MIN(Assumptions!D22,19*Assumptions!D21)</f>
        <v>0.38</v>
      </c>
      <c r="X8" s="12">
        <f>MIN(Assumptions!D22,20*Assumptions!D21)</f>
        <v>0.4</v>
      </c>
      <c r="Y8" s="12">
        <f>MIN(Assumptions!D22,21*Assumptions!D21)</f>
        <v>0.4</v>
      </c>
      <c r="Z8" s="12">
        <f>MIN(Assumptions!D22,22*Assumptions!D21)</f>
        <v>0.4</v>
      </c>
      <c r="AA8" s="12">
        <f>MIN(Assumptions!D22,23*Assumptions!D21)</f>
        <v>0.4</v>
      </c>
      <c r="AB8" s="12">
        <f>MIN(Assumptions!D22,24*Assumptions!D21)</f>
        <v>0.4</v>
      </c>
      <c r="AC8" s="12">
        <f>MIN(Assumptions!D22,25*Assumptions!D21)</f>
        <v>0.4</v>
      </c>
      <c r="AD8" s="12">
        <f>MIN(Assumptions!D22,26*Assumptions!D21)</f>
        <v>0.4</v>
      </c>
      <c r="AE8" s="12">
        <f>MIN(Assumptions!D22,27*Assumptions!D21)</f>
        <v>0.4</v>
      </c>
      <c r="AF8" s="12">
        <f>MIN(Assumptions!D22,28*Assumptions!D21)</f>
        <v>0.4</v>
      </c>
      <c r="AG8" s="12">
        <f>MIN(Assumptions!D22,29*Assumptions!D21)</f>
        <v>0.4</v>
      </c>
      <c r="AH8" s="12">
        <f>MIN(Assumptions!D22,30*Assumptions!D21)</f>
        <v>0.4</v>
      </c>
      <c r="AI8" s="12">
        <f>MIN(Assumptions!D22,31*Assumptions!D21)</f>
        <v>0.4</v>
      </c>
      <c r="AJ8" s="12">
        <f>MIN(Assumptions!D22,32*Assumptions!D21)</f>
        <v>0.4</v>
      </c>
      <c r="AK8" s="12">
        <f>MIN(Assumptions!D22,33*Assumptions!D21)</f>
        <v>0.4</v>
      </c>
      <c r="AL8" s="12">
        <f>M8</f>
        <v>0.18</v>
      </c>
      <c r="AM8" s="12">
        <f>Y8</f>
        <v>0.4</v>
      </c>
      <c r="AN8" s="12">
        <f>AK8</f>
        <v>0.4</v>
      </c>
      <c r="AO8" t="s">
        <v>51</v>
      </c>
    </row>
    <row r="9" spans="1:41" ht="15" customHeight="1" x14ac:dyDescent="0.2">
      <c r="A9" s="3" t="s">
        <v>52</v>
      </c>
      <c r="B9" s="12">
        <f>Assumptions!D18*(1-B8*Assumptions!D23)</f>
        <v>0.08</v>
      </c>
      <c r="C9" s="12">
        <f>Assumptions!D18*(1-C8*Assumptions!D23)</f>
        <v>0.08</v>
      </c>
      <c r="D9" s="12">
        <f>Assumptions!D18*(1-D8*Assumptions!D23)</f>
        <v>0.08</v>
      </c>
      <c r="E9" s="12">
        <f>Assumptions!D18*(1-E8*Assumptions!D23)</f>
        <v>7.9439999999999997E-2</v>
      </c>
      <c r="F9" s="12">
        <f>Assumptions!D18*(1-F8*Assumptions!D23)</f>
        <v>7.8880000000000006E-2</v>
      </c>
      <c r="G9" s="12">
        <f>Assumptions!D18*(1-G8*Assumptions!D23)</f>
        <v>7.8320000000000001E-2</v>
      </c>
      <c r="H9" s="12">
        <f>Assumptions!D18*(1-H8*Assumptions!D23)</f>
        <v>7.7759999999999996E-2</v>
      </c>
      <c r="I9" s="12">
        <f>Assumptions!D18*(1-I8*Assumptions!D23)</f>
        <v>7.7200000000000005E-2</v>
      </c>
      <c r="J9" s="12">
        <f>Assumptions!D18*(1-J8*Assumptions!D23)</f>
        <v>7.664E-2</v>
      </c>
      <c r="K9" s="12">
        <f>Assumptions!D18*(1-K8*Assumptions!D23)</f>
        <v>7.6079999999999995E-2</v>
      </c>
      <c r="L9" s="12">
        <f>Assumptions!D18*(1-L8*Assumptions!D23)</f>
        <v>7.5520000000000004E-2</v>
      </c>
      <c r="M9" s="12">
        <f>Assumptions!D18*(1-M8*Assumptions!D23)</f>
        <v>7.4960000000000013E-2</v>
      </c>
      <c r="N9" s="12">
        <f>Assumptions!D19*(1-N8*Assumptions!D23)</f>
        <v>6.5100000000000005E-2</v>
      </c>
      <c r="O9" s="12">
        <f>Assumptions!D19*(1-O8*Assumptions!D23)</f>
        <v>6.4610000000000015E-2</v>
      </c>
      <c r="P9" s="12">
        <f>Assumptions!D19*(1-P8*Assumptions!D23)</f>
        <v>6.412000000000001E-2</v>
      </c>
      <c r="Q9" s="12">
        <f>Assumptions!D19*(1-Q8*Assumptions!D23)</f>
        <v>6.3630000000000006E-2</v>
      </c>
      <c r="R9" s="12">
        <f>Assumptions!D19*(1-R8*Assumptions!D23)</f>
        <v>6.3140000000000002E-2</v>
      </c>
      <c r="S9" s="12">
        <f>Assumptions!D19*(1-S8*Assumptions!D23)</f>
        <v>6.2650000000000011E-2</v>
      </c>
      <c r="T9" s="12">
        <f>Assumptions!D19*(1-T8*Assumptions!D23)</f>
        <v>6.2160000000000007E-2</v>
      </c>
      <c r="U9" s="12">
        <f>Assumptions!D19*(1-U8*Assumptions!D23)</f>
        <v>6.167000000000001E-2</v>
      </c>
      <c r="V9" s="12">
        <f>Assumptions!D19*(1-V8*Assumptions!D23)</f>
        <v>6.1180000000000005E-2</v>
      </c>
      <c r="W9" s="12">
        <f>Assumptions!D19*(1-W8*Assumptions!D23)</f>
        <v>6.0690000000000008E-2</v>
      </c>
      <c r="X9" s="12">
        <f>Assumptions!D19*(1-X8*Assumptions!D23)</f>
        <v>6.0200000000000004E-2</v>
      </c>
      <c r="Y9" s="12">
        <f>Assumptions!D19*(1-Y8*Assumptions!D23)</f>
        <v>6.0200000000000004E-2</v>
      </c>
      <c r="Z9" s="12">
        <f>Assumptions!D20*(1-Z8*Assumptions!D23)</f>
        <v>4.7300000000000002E-2</v>
      </c>
      <c r="AA9" s="12">
        <f>Assumptions!D20*(1-AA8*Assumptions!D23)</f>
        <v>4.7300000000000002E-2</v>
      </c>
      <c r="AB9" s="12">
        <f>Assumptions!D20*(1-AB8*Assumptions!D23)</f>
        <v>4.7300000000000002E-2</v>
      </c>
      <c r="AC9" s="12">
        <f>Assumptions!D20*(1-AC8*Assumptions!D23)</f>
        <v>4.7300000000000002E-2</v>
      </c>
      <c r="AD9" s="12">
        <f>Assumptions!D20*(1-AD8*Assumptions!D23)</f>
        <v>4.7300000000000002E-2</v>
      </c>
      <c r="AE9" s="12">
        <f>Assumptions!D20*(1-AE8*Assumptions!D23)</f>
        <v>4.7300000000000002E-2</v>
      </c>
      <c r="AF9" s="12">
        <f>Assumptions!D20*(1-AF8*Assumptions!D23)</f>
        <v>4.7300000000000002E-2</v>
      </c>
      <c r="AG9" s="12">
        <f>Assumptions!D20*(1-AG8*Assumptions!D23)</f>
        <v>4.7300000000000002E-2</v>
      </c>
      <c r="AH9" s="12">
        <f>Assumptions!D20*(1-AH8*Assumptions!D23)</f>
        <v>4.7300000000000002E-2</v>
      </c>
      <c r="AI9" s="12">
        <f>Assumptions!D20*(1-AI8*Assumptions!D23)</f>
        <v>4.7300000000000002E-2</v>
      </c>
      <c r="AJ9" s="12">
        <f>Assumptions!D20*(1-AJ8*Assumptions!D23)</f>
        <v>4.7300000000000002E-2</v>
      </c>
      <c r="AK9" s="12">
        <f>Assumptions!D20*(1-AK8*Assumptions!D23)</f>
        <v>4.7300000000000002E-2</v>
      </c>
      <c r="AL9" s="12">
        <f>AVERAGE(B9:M9)</f>
        <v>7.7900000000000011E-2</v>
      </c>
      <c r="AM9" s="12">
        <f>AVERAGE(N9:Y9)</f>
        <v>6.2445833333333339E-2</v>
      </c>
      <c r="AN9" s="12">
        <f>AVERAGE(Z9:AK9)</f>
        <v>4.7300000000000002E-2</v>
      </c>
      <c r="AO9" t="s">
        <v>53</v>
      </c>
    </row>
    <row r="10" spans="1:41" ht="15" customHeight="1" x14ac:dyDescent="0.2">
      <c r="A10" s="3" t="s">
        <v>54</v>
      </c>
      <c r="B10" s="11">
        <f>0</f>
        <v>0</v>
      </c>
      <c r="C10" s="11">
        <f>0</f>
        <v>0</v>
      </c>
      <c r="D10" s="11">
        <f>0</f>
        <v>0</v>
      </c>
      <c r="E10" s="11">
        <f>0</f>
        <v>0</v>
      </c>
      <c r="F10" s="11">
        <f>0</f>
        <v>0</v>
      </c>
      <c r="G10" s="11">
        <f>0</f>
        <v>0</v>
      </c>
      <c r="H10" s="11">
        <f>0</f>
        <v>0</v>
      </c>
      <c r="I10" s="11">
        <f>0</f>
        <v>0</v>
      </c>
      <c r="J10" s="11">
        <f>0</f>
        <v>0</v>
      </c>
      <c r="K10" s="11">
        <f>0</f>
        <v>0</v>
      </c>
      <c r="L10" s="11">
        <f>0</f>
        <v>0</v>
      </c>
      <c r="M10" s="11">
        <f>0</f>
        <v>0</v>
      </c>
      <c r="N10" s="11">
        <f>M11*Assumptions!D26</f>
        <v>63.215805846449214</v>
      </c>
      <c r="O10" s="11">
        <f>N11*Assumptions!D26</f>
        <v>77.975332823377698</v>
      </c>
      <c r="P10" s="11">
        <f>O11*Assumptions!D26</f>
        <v>92.41540814110617</v>
      </c>
      <c r="Q10" s="11">
        <f>P11*Assumptions!D26</f>
        <v>106.71682226475183</v>
      </c>
      <c r="R10" s="11">
        <f>Q11*Assumptions!D26</f>
        <v>121.07368765416926</v>
      </c>
      <c r="S10" s="11">
        <f>R11*Assumptions!D26</f>
        <v>135.69796834878542</v>
      </c>
      <c r="T10" s="11">
        <f>S11*Assumptions!D26</f>
        <v>150.82469154216469</v>
      </c>
      <c r="U10" s="11">
        <f>T11*Assumptions!D26</f>
        <v>166.7179911516896</v>
      </c>
      <c r="V10" s="11">
        <f>U11*Assumptions!D26</f>
        <v>183.67816029822936</v>
      </c>
      <c r="W10" s="11">
        <f>V11*Assumptions!D26</f>
        <v>202.04992190377962</v>
      </c>
      <c r="X10" s="11">
        <f>W11*Assumptions!D26</f>
        <v>222.23216530498402</v>
      </c>
      <c r="Y10" s="11">
        <f>X11*Assumptions!D26</f>
        <v>244.68944307791182</v>
      </c>
      <c r="Z10" s="11">
        <f>Y11*Assumptions!D26</f>
        <v>269.84567979331877</v>
      </c>
      <c r="AA10" s="11">
        <f>Z11*Assumptions!D26</f>
        <v>297.91586628389399</v>
      </c>
      <c r="AB10" s="11">
        <f>AA11*Assumptions!D26</f>
        <v>330.43210977101177</v>
      </c>
      <c r="AC10" s="11">
        <f>AB11*Assumptions!D26</f>
        <v>368.29000213843602</v>
      </c>
      <c r="AD10" s="11">
        <f>AC11*Assumptions!D26</f>
        <v>412.5523845354279</v>
      </c>
      <c r="AE10" s="11">
        <f>AD11*Assumptions!D26</f>
        <v>464.4812916631152</v>
      </c>
      <c r="AF10" s="11">
        <f>AE11*Assumptions!D26</f>
        <v>525.57595591041706</v>
      </c>
      <c r="AG10" s="11">
        <f>AF11*Assumptions!D26</f>
        <v>597.61802325900544</v>
      </c>
      <c r="AH10" s="11">
        <f>AG11*Assumptions!D26</f>
        <v>682.72535171008178</v>
      </c>
      <c r="AI10" s="11">
        <f>AH11*Assumptions!D26</f>
        <v>783.41602339916994</v>
      </c>
      <c r="AJ10" s="11">
        <f>AI11*Assumptions!D26</f>
        <v>902.68451145880113</v>
      </c>
      <c r="AK10" s="11">
        <f>AJ11*Assumptions!D26</f>
        <v>1044.0923114640254</v>
      </c>
      <c r="AL10" s="11">
        <f>SUM(B10:M10)</f>
        <v>0</v>
      </c>
      <c r="AM10" s="11">
        <f>SUM(N10:Y10)</f>
        <v>1767.2873983573986</v>
      </c>
      <c r="AN10" s="11">
        <f>SUM(Z10:AK10)</f>
        <v>6679.6295113867045</v>
      </c>
      <c r="AO10" t="s">
        <v>55</v>
      </c>
    </row>
    <row r="11" spans="1:41" ht="15" customHeight="1" x14ac:dyDescent="0.2">
      <c r="A11" s="13" t="s">
        <v>56</v>
      </c>
      <c r="B11" s="11">
        <f>B6+B7</f>
        <v>49.000000000000007</v>
      </c>
      <c r="C11" s="11">
        <f t="shared" ref="C11:AK11" si="0">B11*(1-C9)-C10+C6+C7</f>
        <v>103.39000000000001</v>
      </c>
      <c r="D11" s="11">
        <f t="shared" si="0"/>
        <v>164.50770000000003</v>
      </c>
      <c r="E11" s="11">
        <f t="shared" si="0"/>
        <v>967.34533264533343</v>
      </c>
      <c r="F11" s="11">
        <f t="shared" si="0"/>
        <v>1722.6360874296029</v>
      </c>
      <c r="G11" s="11">
        <f t="shared" si="0"/>
        <v>2437.9838917305497</v>
      </c>
      <c r="H11" s="11">
        <f t="shared" si="0"/>
        <v>3120.8878795516848</v>
      </c>
      <c r="I11" s="11">
        <f t="shared" si="0"/>
        <v>3778.8751240550628</v>
      </c>
      <c r="J11" s="11">
        <f t="shared" si="0"/>
        <v>4419.6433498918241</v>
      </c>
      <c r="K11" s="11">
        <f t="shared" si="0"/>
        <v>5051.2171967584864</v>
      </c>
      <c r="L11" s="11">
        <f t="shared" si="0"/>
        <v>5682.1221131084067</v>
      </c>
      <c r="M11" s="11">
        <f t="shared" si="0"/>
        <v>6321.5805846449211</v>
      </c>
      <c r="N11" s="11">
        <f t="shared" si="0"/>
        <v>7797.5332823377703</v>
      </c>
      <c r="O11" s="11">
        <f t="shared" si="0"/>
        <v>9241.5408141106163</v>
      </c>
      <c r="P11" s="11">
        <f t="shared" si="0"/>
        <v>10671.682226475183</v>
      </c>
      <c r="Q11" s="11">
        <f t="shared" si="0"/>
        <v>12107.368765416926</v>
      </c>
      <c r="R11" s="11">
        <f t="shared" si="0"/>
        <v>13569.796834878543</v>
      </c>
      <c r="S11" s="11">
        <f t="shared" si="0"/>
        <v>15082.469154216469</v>
      </c>
      <c r="T11" s="11">
        <f t="shared" si="0"/>
        <v>16671.79911516896</v>
      </c>
      <c r="U11" s="11">
        <f t="shared" si="0"/>
        <v>18367.816029822934</v>
      </c>
      <c r="V11" s="11">
        <f t="shared" si="0"/>
        <v>20204.992190377961</v>
      </c>
      <c r="W11" s="11">
        <f t="shared" si="0"/>
        <v>22223.216530498401</v>
      </c>
      <c r="X11" s="11">
        <f t="shared" si="0"/>
        <v>24468.944307791182</v>
      </c>
      <c r="Y11" s="11">
        <f t="shared" si="0"/>
        <v>26984.567979331874</v>
      </c>
      <c r="Z11" s="11">
        <f t="shared" si="0"/>
        <v>29791.586628389399</v>
      </c>
      <c r="AA11" s="11">
        <f t="shared" si="0"/>
        <v>33043.210977101175</v>
      </c>
      <c r="AB11" s="11">
        <f t="shared" si="0"/>
        <v>36829.000213843603</v>
      </c>
      <c r="AC11" s="11">
        <f t="shared" si="0"/>
        <v>41255.238453542792</v>
      </c>
      <c r="AD11" s="11">
        <f t="shared" si="0"/>
        <v>46448.129166311519</v>
      </c>
      <c r="AE11" s="11">
        <f t="shared" si="0"/>
        <v>52557.595591041703</v>
      </c>
      <c r="AF11" s="11">
        <f t="shared" si="0"/>
        <v>59761.802325900542</v>
      </c>
      <c r="AG11" s="11">
        <f t="shared" si="0"/>
        <v>68272.535171008174</v>
      </c>
      <c r="AH11" s="11">
        <f t="shared" si="0"/>
        <v>78341.602339916994</v>
      </c>
      <c r="AI11" s="11">
        <f t="shared" si="0"/>
        <v>90268.451145880113</v>
      </c>
      <c r="AJ11" s="11">
        <f t="shared" si="0"/>
        <v>104409.23114640254</v>
      </c>
      <c r="AK11" s="11">
        <f t="shared" si="0"/>
        <v>121187.57861395282</v>
      </c>
      <c r="AL11" s="11">
        <f>M11</f>
        <v>6321.5805846449211</v>
      </c>
      <c r="AM11" s="11">
        <f>Y11</f>
        <v>26984.567979331874</v>
      </c>
      <c r="AN11" s="11">
        <f>AK11</f>
        <v>121187.57861395282</v>
      </c>
      <c r="AO11" t="s">
        <v>57</v>
      </c>
    </row>
    <row r="12" spans="1:41" ht="27.75" customHeight="1" x14ac:dyDescent="0.2">
      <c r="A12" s="13" t="s">
        <v>58</v>
      </c>
      <c r="B12" s="11">
        <f>0</f>
        <v>0</v>
      </c>
      <c r="C12" s="11">
        <f>0</f>
        <v>0</v>
      </c>
      <c r="D12" s="11">
        <f>0</f>
        <v>0</v>
      </c>
      <c r="E12" s="11">
        <f>0</f>
        <v>0</v>
      </c>
      <c r="F12" s="11">
        <f>0</f>
        <v>0</v>
      </c>
      <c r="G12" s="11">
        <f>0</f>
        <v>0</v>
      </c>
      <c r="H12" s="11">
        <f>0</f>
        <v>0</v>
      </c>
      <c r="I12" s="11">
        <f>0</f>
        <v>0</v>
      </c>
      <c r="J12" s="11">
        <f>0</f>
        <v>0</v>
      </c>
      <c r="K12" s="11">
        <f>0</f>
        <v>0</v>
      </c>
      <c r="L12" s="11">
        <f>0</f>
        <v>0</v>
      </c>
      <c r="M12" s="11">
        <f>0</f>
        <v>0</v>
      </c>
      <c r="N12" s="11">
        <f>N10</f>
        <v>63.215805846449214</v>
      </c>
      <c r="O12" s="11">
        <f>N12*(1-Assumptions!D27)+O10</f>
        <v>138.97858546520118</v>
      </c>
      <c r="P12" s="11">
        <f>O12*(1-Assumptions!D27)+P10</f>
        <v>226.52974311502533</v>
      </c>
      <c r="Q12" s="11">
        <f>P12*(1-Assumptions!D27)+Q10</f>
        <v>325.31802437075123</v>
      </c>
      <c r="R12" s="11">
        <f>Q12*(1-Assumptions!D27)+R10</f>
        <v>435.00558117194419</v>
      </c>
      <c r="S12" s="11">
        <f>R12*(1-Assumptions!D27)+S10</f>
        <v>555.47835417971157</v>
      </c>
      <c r="T12" s="11">
        <f>S12*(1-Assumptions!D27)+T10</f>
        <v>686.86130332558639</v>
      </c>
      <c r="U12" s="11">
        <f>T12*(1-Assumptions!D27)+U10</f>
        <v>829.53914886088046</v>
      </c>
      <c r="V12" s="11">
        <f>U12*(1-Assumptions!D27)+V10</f>
        <v>984.18343894897896</v>
      </c>
      <c r="W12" s="11">
        <f>V12*(1-Assumptions!D27)+W10</f>
        <v>1151.7869404895443</v>
      </c>
      <c r="X12" s="11">
        <f>W12*(1-Assumptions!D27)+X10</f>
        <v>1333.7065628773942</v>
      </c>
      <c r="Y12" s="11">
        <f>X12*(1-Assumptions!D27)+Y10</f>
        <v>1531.7162762545972</v>
      </c>
      <c r="Z12" s="11">
        <f>Y12*(1-Assumptions!D27)+Z10</f>
        <v>1747.9518863790051</v>
      </c>
      <c r="AA12" s="11">
        <f>Z12*(1-Assumptions!D27)+AA10</f>
        <v>1984.6894366396339</v>
      </c>
      <c r="AB12" s="11">
        <f>AA12*(1-Assumptions!D27)+AB10</f>
        <v>2245.6574161282583</v>
      </c>
      <c r="AC12" s="11">
        <f>AB12*(1-Assumptions!D27)+AC10</f>
        <v>2535.3494087022054</v>
      </c>
      <c r="AD12" s="11">
        <f>AC12*(1-Assumptions!D27)+AD10</f>
        <v>2859.1645639330559</v>
      </c>
      <c r="AE12" s="11">
        <f>AD12*(1-Assumptions!D27)+AE10</f>
        <v>3223.575095858514</v>
      </c>
      <c r="AF12" s="11">
        <f>AE12*(1-Assumptions!D27)+AF10</f>
        <v>3636.3259234138832</v>
      </c>
      <c r="AG12" s="11">
        <f>AF12*(1-Assumptions!D27)+AG10</f>
        <v>4106.6725393534025</v>
      </c>
      <c r="AH12" s="11">
        <f>AG12*(1-Assumptions!D27)+AH10</f>
        <v>4645.6643521861151</v>
      </c>
      <c r="AI12" s="11">
        <f>AH12*(1-Assumptions!D27)+AI10</f>
        <v>5266.482123258771</v>
      </c>
      <c r="AJ12" s="11">
        <f>AI12*(1-Assumptions!D27)+AJ10</f>
        <v>5984.8397604035154</v>
      </c>
      <c r="AK12" s="11">
        <f>AJ12*(1-Assumptions!D27)+AK10</f>
        <v>6819.4626802534176</v>
      </c>
      <c r="AL12" s="11">
        <f>M12</f>
        <v>0</v>
      </c>
      <c r="AM12" s="11">
        <f>Y12</f>
        <v>1531.7162762545972</v>
      </c>
      <c r="AN12" s="11">
        <f>AK12</f>
        <v>6819.4626802534176</v>
      </c>
      <c r="AO12" t="s">
        <v>59</v>
      </c>
    </row>
    <row r="13" spans="1:41" ht="15" customHeight="1" x14ac:dyDescent="0.2">
      <c r="A13" s="3" t="s">
        <v>60</v>
      </c>
      <c r="B13" s="14">
        <f>0</f>
        <v>0</v>
      </c>
      <c r="C13" s="14">
        <f>0</f>
        <v>0</v>
      </c>
      <c r="D13" s="14">
        <f>0</f>
        <v>0</v>
      </c>
      <c r="E13" s="14">
        <f>0</f>
        <v>0</v>
      </c>
      <c r="F13" s="14">
        <f>0</f>
        <v>0</v>
      </c>
      <c r="G13" s="14">
        <f>Assumptions!D29</f>
        <v>1.7</v>
      </c>
      <c r="H13" s="14">
        <f>G13+Assumptions!D29</f>
        <v>3.4</v>
      </c>
      <c r="I13" s="14">
        <f>H13+Assumptions!D29</f>
        <v>5.0999999999999996</v>
      </c>
      <c r="J13" s="14">
        <f>I13+Assumptions!D29</f>
        <v>6.8</v>
      </c>
      <c r="K13" s="14">
        <f>J13+Assumptions!D29</f>
        <v>8.5</v>
      </c>
      <c r="L13" s="14">
        <f>K13+Assumptions!D29</f>
        <v>10.199999999999999</v>
      </c>
      <c r="M13" s="14">
        <f>L13+Assumptions!D29</f>
        <v>11.899999999999999</v>
      </c>
      <c r="N13" s="14">
        <f>M13+Assumptions!D30</f>
        <v>13.599999999999998</v>
      </c>
      <c r="O13" s="14">
        <f>N13+Assumptions!D30</f>
        <v>15.299999999999997</v>
      </c>
      <c r="P13" s="14">
        <f>O13+Assumptions!D30</f>
        <v>16.999999999999996</v>
      </c>
      <c r="Q13" s="14">
        <f>P13+Assumptions!D30</f>
        <v>18.699999999999996</v>
      </c>
      <c r="R13" s="14">
        <f>Q13+Assumptions!D30</f>
        <v>20.399999999999995</v>
      </c>
      <c r="S13" s="14">
        <f>R13+Assumptions!D30</f>
        <v>22.099999999999994</v>
      </c>
      <c r="T13" s="14">
        <f>S13+Assumptions!D30</f>
        <v>23.799999999999994</v>
      </c>
      <c r="U13" s="14">
        <f>T13+Assumptions!D30</f>
        <v>25.499999999999993</v>
      </c>
      <c r="V13" s="14">
        <f>U13+Assumptions!D30</f>
        <v>27.199999999999992</v>
      </c>
      <c r="W13" s="14">
        <f>V13+Assumptions!D30</f>
        <v>28.899999999999991</v>
      </c>
      <c r="X13" s="14">
        <f>W13+Assumptions!D30</f>
        <v>30.599999999999991</v>
      </c>
      <c r="Y13" s="14">
        <f>X13+Assumptions!D30</f>
        <v>32.29999999999999</v>
      </c>
      <c r="Z13" s="14">
        <f>Y13+Assumptions!D31</f>
        <v>35.899999999999991</v>
      </c>
      <c r="AA13" s="14">
        <f>Z13+Assumptions!D31</f>
        <v>39.499999999999993</v>
      </c>
      <c r="AB13" s="14">
        <f>AA13+Assumptions!D31</f>
        <v>43.099999999999994</v>
      </c>
      <c r="AC13" s="14">
        <f>AB13+Assumptions!D31</f>
        <v>46.699999999999996</v>
      </c>
      <c r="AD13" s="14">
        <f>AC13+Assumptions!D31</f>
        <v>50.3</v>
      </c>
      <c r="AE13" s="14">
        <f>AD13+Assumptions!D31</f>
        <v>53.9</v>
      </c>
      <c r="AF13" s="14">
        <f>AE13+Assumptions!D31</f>
        <v>57.5</v>
      </c>
      <c r="AG13" s="14">
        <f>AF13+Assumptions!D31</f>
        <v>61.1</v>
      </c>
      <c r="AH13" s="14">
        <f>AG13+Assumptions!D31</f>
        <v>64.7</v>
      </c>
      <c r="AI13" s="14">
        <f>AH13+Assumptions!D31</f>
        <v>68.3</v>
      </c>
      <c r="AJ13" s="14">
        <f>AI13+Assumptions!D31</f>
        <v>71.899999999999991</v>
      </c>
      <c r="AK13" s="14">
        <f>AJ13+Assumptions!D31</f>
        <v>75.499999999999986</v>
      </c>
      <c r="AL13" s="14">
        <f>M13</f>
        <v>11.899999999999999</v>
      </c>
      <c r="AM13" s="14">
        <f>Y13</f>
        <v>32.29999999999999</v>
      </c>
      <c r="AN13" s="14">
        <f>AK13</f>
        <v>75.499999999999986</v>
      </c>
    </row>
    <row r="14" spans="1:41" ht="15" customHeight="1" x14ac:dyDescent="0.2">
      <c r="A14" s="13" t="s">
        <v>61</v>
      </c>
      <c r="B14" s="11">
        <f>0</f>
        <v>0</v>
      </c>
      <c r="C14" s="11">
        <f>0</f>
        <v>0</v>
      </c>
      <c r="D14" s="11">
        <f>0</f>
        <v>0</v>
      </c>
      <c r="E14" s="11">
        <f>0</f>
        <v>0</v>
      </c>
      <c r="F14" s="11">
        <f>0</f>
        <v>0</v>
      </c>
      <c r="G14" s="11">
        <f>Assumptions!D29*Assumptions!D32</f>
        <v>255</v>
      </c>
      <c r="H14" s="11">
        <f>G14*(1-(1-(1-Assumptions!D33)^(1/12)))+Assumptions!D29*Assumptions!D32</f>
        <v>505.81759628696108</v>
      </c>
      <c r="I14" s="11">
        <f>H14*(1-(1-(1-Assumptions!D33)^(1/12)))+Assumptions!D29*Assumptions!D32</f>
        <v>752.52138690331003</v>
      </c>
      <c r="J14" s="11">
        <f>I14*(1-(1-(1-Assumptions!D33)^(1/12)))+Assumptions!D29*Assumptions!D32</f>
        <v>995.17884477497432</v>
      </c>
      <c r="K14" s="11">
        <f>J14*(1-(1-(1-Assumptions!D33)^(1/12)))+Assumptions!D29*Assumptions!D32</f>
        <v>1233.8563361650738</v>
      </c>
      <c r="L14" s="11">
        <f>K14*(1-(1-(1-Assumptions!D33)^(1/12)))+Assumptions!D29*Assumptions!D32</f>
        <v>1468.6191388249429</v>
      </c>
      <c r="M14" s="11">
        <f>L14*(1-(1-(1-Assumptions!D33)^(1/12)))+Assumptions!D29*Assumptions!D32</f>
        <v>1699.531459847447</v>
      </c>
      <c r="N14" s="11">
        <f>M14*(1-(1-(1-Assumptions!D33)^(1/12)))+Assumptions!D30*Assumptions!D32</f>
        <v>1926.6564532274767</v>
      </c>
      <c r="O14" s="11">
        <f>N14*(1-(1-(1-Assumptions!D33)^(1/12)))+Assumptions!D30*Assumptions!D32</f>
        <v>2150.0562371344222</v>
      </c>
      <c r="P14" s="11">
        <f>O14*(1-(1-(1-Assumptions!D33)^(1/12)))+Assumptions!D30*Assumptions!D32</f>
        <v>2369.7919109013496</v>
      </c>
      <c r="Q14" s="11">
        <f>P14*(1-(1-(1-Assumptions!D33)^(1/12)))+Assumptions!D30*Assumptions!D32</f>
        <v>2585.9235717355323</v>
      </c>
      <c r="R14" s="11">
        <f>Q14*(1-(1-(1-Assumptions!D33)^(1/12)))+Assumptions!D30*Assumptions!D32</f>
        <v>2798.5103311548987</v>
      </c>
      <c r="S14" s="11">
        <f>R14*(1-(1-(1-Assumptions!D33)^(1/12)))+Assumptions!D30*Assumptions!D32</f>
        <v>3007.6103311548986</v>
      </c>
      <c r="T14" s="11">
        <f>S14*(1-(1-(1-Assumptions!D33)^(1/12)))+Assumptions!D30*Assumptions!D32</f>
        <v>3213.2807601102068</v>
      </c>
      <c r="U14" s="11">
        <f>T14*(1-(1-(1-Assumptions!D33)^(1/12)))+Assumptions!D30*Assumptions!D32</f>
        <v>3415.577868415613</v>
      </c>
      <c r="V14" s="11">
        <f>U14*(1-(1-(1-Assumptions!D33)^(1/12)))+Assumptions!D30*Assumptions!D32</f>
        <v>3614.5569838703777</v>
      </c>
      <c r="W14" s="11">
        <f>V14*(1-(1-(1-Assumptions!D33)^(1/12)))+Assumptions!D30*Assumptions!D32</f>
        <v>3810.272526810259</v>
      </c>
      <c r="X14" s="11">
        <f>W14*(1-(1-(1-Assumptions!D33)^(1/12)))+Assumptions!D30*Assumptions!D32</f>
        <v>4002.7780249913517</v>
      </c>
      <c r="Y14" s="11">
        <f>X14*(1-(1-(1-Assumptions!D33)^(1/12)))+Assumptions!D30*Assumptions!D32</f>
        <v>4192.1261282298055</v>
      </c>
      <c r="Z14" s="11">
        <f>Y14*(1-(1-(1-Assumptions!D33)^(1/12)))+Assumptions!D31*Assumptions!D32</f>
        <v>4663.3686228014294</v>
      </c>
      <c r="AA14" s="11">
        <f>Z14*(1-(1-(1-Assumptions!D33)^(1/12)))+Assumptions!D31*Assumptions!D32</f>
        <v>5126.8819943964336</v>
      </c>
      <c r="AB14" s="11">
        <f>AA14*(1-(1-(1-Assumptions!D33)^(1/12)))+Assumptions!D31*Assumptions!D32</f>
        <v>5582.793012868292</v>
      </c>
      <c r="AC14" s="11">
        <f>AB14*(1-(1-(1-Assumptions!D33)^(1/12)))+Assumptions!D31*Assumptions!D32</f>
        <v>6031.2263688441817</v>
      </c>
      <c r="AD14" s="11">
        <f>AC14*(1-(1-(1-Assumptions!D33)^(1/12)))+Assumptions!D31*Assumptions!D32</f>
        <v>6472.3047078275849</v>
      </c>
      <c r="AE14" s="11">
        <f>AD14*(1-(1-(1-Assumptions!D33)^(1/12)))+Assumptions!D31*Assumptions!D32</f>
        <v>6906.1486637415564</v>
      </c>
      <c r="AF14" s="11">
        <f>AE14*(1-(1-(1-Assumptions!D33)^(1/12)))+Assumptions!D31*Assumptions!D32</f>
        <v>7332.8768919218255</v>
      </c>
      <c r="AG14" s="11">
        <f>AF14*(1-(1-(1-Assumptions!D33)^(1/12)))+Assumptions!D31*Assumptions!D32</f>
        <v>7752.6061015687619</v>
      </c>
      <c r="AH14" s="11">
        <f>AG14*(1-(1-(1-Assumptions!D33)^(1/12)))+Assumptions!D31*Assumptions!D32</f>
        <v>8165.4510876670784</v>
      </c>
      <c r="AI14" s="11">
        <f>AH14*(1-(1-(1-Assumptions!D33)^(1/12)))+Assumptions!D31*Assumptions!D32</f>
        <v>8571.5247623819942</v>
      </c>
      <c r="AJ14" s="11">
        <f>AI14*(1-(1-(1-Assumptions!D33)^(1/12)))+Assumptions!D31*Assumptions!D32</f>
        <v>8970.9381859404584</v>
      </c>
      <c r="AK14" s="11">
        <f>AJ14*(1-(1-(1-Assumptions!D33)^(1/12)))+Assumptions!D31*Assumptions!D32</f>
        <v>9363.8005970058693</v>
      </c>
      <c r="AL14" s="11">
        <f>M14</f>
        <v>1699.531459847447</v>
      </c>
      <c r="AM14" s="11">
        <f>Y14</f>
        <v>4192.1261282298055</v>
      </c>
      <c r="AN14" s="11">
        <f>AK14</f>
        <v>9363.8005970058693</v>
      </c>
      <c r="AO14" t="s">
        <v>62</v>
      </c>
    </row>
    <row r="15" spans="1:41" ht="15" customHeight="1" x14ac:dyDescent="0.2">
      <c r="A15" s="13" t="s">
        <v>63</v>
      </c>
      <c r="B15" s="15">
        <f t="shared" ref="B15:AK15" si="1">B11+B12+B14</f>
        <v>49.000000000000007</v>
      </c>
      <c r="C15" s="15">
        <f t="shared" si="1"/>
        <v>103.39000000000001</v>
      </c>
      <c r="D15" s="15">
        <f t="shared" si="1"/>
        <v>164.50770000000003</v>
      </c>
      <c r="E15" s="15">
        <f t="shared" si="1"/>
        <v>967.34533264533343</v>
      </c>
      <c r="F15" s="15">
        <f t="shared" si="1"/>
        <v>1722.6360874296029</v>
      </c>
      <c r="G15" s="15">
        <f t="shared" si="1"/>
        <v>2692.9838917305497</v>
      </c>
      <c r="H15" s="15">
        <f t="shared" si="1"/>
        <v>3626.7054758386457</v>
      </c>
      <c r="I15" s="15">
        <f t="shared" si="1"/>
        <v>4531.3965109583733</v>
      </c>
      <c r="J15" s="15">
        <f t="shared" si="1"/>
        <v>5414.8221946667982</v>
      </c>
      <c r="K15" s="15">
        <f t="shared" si="1"/>
        <v>6285.0735329235604</v>
      </c>
      <c r="L15" s="15">
        <f t="shared" si="1"/>
        <v>7150.7412519333493</v>
      </c>
      <c r="M15" s="15">
        <f t="shared" si="1"/>
        <v>8021.1120444923681</v>
      </c>
      <c r="N15" s="15">
        <f t="shared" si="1"/>
        <v>9787.4055414116956</v>
      </c>
      <c r="O15" s="15">
        <f t="shared" si="1"/>
        <v>11530.57563671024</v>
      </c>
      <c r="P15" s="15">
        <f t="shared" si="1"/>
        <v>13268.003880491557</v>
      </c>
      <c r="Q15" s="15">
        <f t="shared" si="1"/>
        <v>15018.61036152321</v>
      </c>
      <c r="R15" s="15">
        <f t="shared" si="1"/>
        <v>16803.312747205386</v>
      </c>
      <c r="S15" s="15">
        <f t="shared" si="1"/>
        <v>18645.557839551078</v>
      </c>
      <c r="T15" s="15">
        <f t="shared" si="1"/>
        <v>20571.941178604753</v>
      </c>
      <c r="U15" s="15">
        <f t="shared" si="1"/>
        <v>22612.933047099428</v>
      </c>
      <c r="V15" s="15">
        <f t="shared" si="1"/>
        <v>24803.732613197317</v>
      </c>
      <c r="W15" s="15">
        <f t="shared" si="1"/>
        <v>27185.275997798202</v>
      </c>
      <c r="X15" s="15">
        <f t="shared" si="1"/>
        <v>29805.428895659927</v>
      </c>
      <c r="Y15" s="15">
        <f t="shared" si="1"/>
        <v>32708.410383816277</v>
      </c>
      <c r="Z15" s="15">
        <f t="shared" si="1"/>
        <v>36202.907137569833</v>
      </c>
      <c r="AA15" s="15">
        <f t="shared" si="1"/>
        <v>40154.782408137246</v>
      </c>
      <c r="AB15" s="15">
        <f t="shared" si="1"/>
        <v>44657.450642840151</v>
      </c>
      <c r="AC15" s="15">
        <f t="shared" si="1"/>
        <v>49821.814231089178</v>
      </c>
      <c r="AD15" s="15">
        <f t="shared" si="1"/>
        <v>55779.598438072157</v>
      </c>
      <c r="AE15" s="15">
        <f t="shared" si="1"/>
        <v>62687.319350641774</v>
      </c>
      <c r="AF15" s="15">
        <f t="shared" si="1"/>
        <v>70731.005141236252</v>
      </c>
      <c r="AG15" s="15">
        <f t="shared" si="1"/>
        <v>80131.813811930333</v>
      </c>
      <c r="AH15" s="15">
        <f t="shared" si="1"/>
        <v>91152.717779770188</v>
      </c>
      <c r="AI15" s="15">
        <f t="shared" si="1"/>
        <v>104106.45803152087</v>
      </c>
      <c r="AJ15" s="15">
        <f t="shared" si="1"/>
        <v>119365.00909274651</v>
      </c>
      <c r="AK15" s="15">
        <f t="shared" si="1"/>
        <v>137370.8418912121</v>
      </c>
      <c r="AL15" s="15">
        <f>M15</f>
        <v>8021.1120444923681</v>
      </c>
      <c r="AM15" s="15">
        <f>Y15</f>
        <v>32708.410383816277</v>
      </c>
      <c r="AN15" s="15">
        <f>AK15</f>
        <v>137370.8418912121</v>
      </c>
      <c r="AO15" t="s">
        <v>64</v>
      </c>
    </row>
    <row r="17" spans="1:41" ht="15" customHeight="1" x14ac:dyDescent="0.2">
      <c r="A17" s="30" t="s">
        <v>65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</row>
    <row r="18" spans="1:41" ht="15" customHeight="1" x14ac:dyDescent="0.2">
      <c r="A18" s="3" t="s">
        <v>66</v>
      </c>
      <c r="B18" s="16">
        <f>B11*Assumptions!D4</f>
        <v>244.51000000000005</v>
      </c>
      <c r="C18" s="16">
        <f>(B11+C11)/2*Assumptions!D4</f>
        <v>380.21305000000007</v>
      </c>
      <c r="D18" s="16">
        <f>(C11+D11)/2*Assumptions!D4</f>
        <v>668.40476150000018</v>
      </c>
      <c r="E18" s="16">
        <f>(D11+E11)/2*Assumptions!D4</f>
        <v>2823.9733164501072</v>
      </c>
      <c r="F18" s="16">
        <f>(E11+F11)/2*Assumptions!D4</f>
        <v>6711.5036430869659</v>
      </c>
      <c r="G18" s="16">
        <f>(F11+G11)/2*Assumptions!D4</f>
        <v>10380.746848004579</v>
      </c>
      <c r="H18" s="16">
        <f>(G11+H11)/2*Assumptions!D4</f>
        <v>13869.385069349175</v>
      </c>
      <c r="I18" s="16">
        <f>(H11+I11)/2*Assumptions!D4</f>
        <v>17214.908693998837</v>
      </c>
      <c r="J18" s="16">
        <f>(I11+J11)/2*Assumptions!D4</f>
        <v>20455.303592497483</v>
      </c>
      <c r="K18" s="16">
        <f>(J11+K11)/2*Assumptions!D4</f>
        <v>23629.797063892525</v>
      </c>
      <c r="L18" s="16">
        <f>(K11+L11)/2*Assumptions!D4</f>
        <v>26779.681578117899</v>
      </c>
      <c r="M18" s="16">
        <f>(L11+M11)/2*Assumptions!D4</f>
        <v>29949.238230894553</v>
      </c>
      <c r="N18" s="16">
        <f>(M11+N11)/2*Assumptions!D4</f>
        <v>35227.189098121817</v>
      </c>
      <c r="O18" s="16">
        <f>(N11+O11)/2*Assumptions!D4</f>
        <v>42512.489870638725</v>
      </c>
      <c r="P18" s="16">
        <f>(O11+P11)/2*Assumptions!D4</f>
        <v>49683.49148626157</v>
      </c>
      <c r="Q18" s="16">
        <f>(P11+Q11)/2*Assumptions!D4</f>
        <v>56833.732224770814</v>
      </c>
      <c r="R18" s="16">
        <f>(Q11+R11)/2*Assumptions!D4</f>
        <v>64064.528172737198</v>
      </c>
      <c r="S18" s="16">
        <f>(R11+S11)/2*Assumptions!D4</f>
        <v>71487.403642792066</v>
      </c>
      <c r="T18" s="16">
        <f>(S11+T11)/2*Assumptions!D4</f>
        <v>79226.899332116649</v>
      </c>
      <c r="U18" s="16">
        <f>(T11+U11)/2*Assumptions!D4</f>
        <v>87423.83978675479</v>
      </c>
      <c r="V18" s="16">
        <f>(U11+V11)/2*Assumptions!D4</f>
        <v>96239.156509401233</v>
      </c>
      <c r="W18" s="16">
        <f>(V11+W11)/2*Assumptions!D4</f>
        <v>105858.38075858653</v>
      </c>
      <c r="X18" s="16">
        <f>(W11+X11)/2*Assumptions!D4</f>
        <v>116496.94129153251</v>
      </c>
      <c r="Y18" s="16">
        <f>(X11+Y11)/2*Assumptions!D4</f>
        <v>128376.51315637204</v>
      </c>
      <c r="Z18" s="16">
        <f>(Y11+Z11)/2*Assumptions!D4</f>
        <v>141656.50574626456</v>
      </c>
      <c r="AA18" s="16">
        <f>(Z11+AA11)/2*Assumptions!D4</f>
        <v>156772.82002569898</v>
      </c>
      <c r="AB18" s="16">
        <f>(AA11+AB11)/2*Assumptions!D4</f>
        <v>174331.16692140722</v>
      </c>
      <c r="AC18" s="16">
        <f>(AB11+AC11)/2*Assumptions!D4</f>
        <v>194820.17547512907</v>
      </c>
      <c r="AD18" s="16">
        <f>(AC11+AD11)/2*Assumptions!D4</f>
        <v>218819.90221153651</v>
      </c>
      <c r="AE18" s="16">
        <f>(AD11+AE11)/2*Assumptions!D4</f>
        <v>247019.28326959629</v>
      </c>
      <c r="AF18" s="16">
        <f>(AE11+AF11)/2*Assumptions!D4</f>
        <v>280236.89780277095</v>
      </c>
      <c r="AG18" s="16">
        <f>(AF11+AG11)/2*Assumptions!D4</f>
        <v>319445.67205478728</v>
      </c>
      <c r="AH18" s="16">
        <f>(AG11+AH11)/2*Assumptions!D4</f>
        <v>365802.27308975835</v>
      </c>
      <c r="AI18" s="16">
        <f>(AH11+AI11)/2*Assumptions!D4</f>
        <v>420682.08344706381</v>
      </c>
      <c r="AJ18" s="16">
        <f>(AI11+AJ11)/2*Assumptions!D4</f>
        <v>485720.81731924519</v>
      </c>
      <c r="AK18" s="16">
        <f>(AJ11+AK11)/2*Assumptions!D4</f>
        <v>562864.04035208665</v>
      </c>
      <c r="AL18" s="16">
        <f t="shared" ref="AL18:AL24" si="2">SUM(B18:M18)</f>
        <v>153107.66584779212</v>
      </c>
      <c r="AM18" s="16">
        <f t="shared" ref="AM18:AM24" si="3">SUM(N18:Y18)</f>
        <v>933430.56533008593</v>
      </c>
      <c r="AN18" s="16">
        <f t="shared" ref="AN18:AN24" si="4">SUM(Z18:AK18)</f>
        <v>3568171.6377153448</v>
      </c>
    </row>
    <row r="19" spans="1:41" ht="15" customHeight="1" x14ac:dyDescent="0.2">
      <c r="A19" s="3" t="s">
        <v>67</v>
      </c>
      <c r="B19" s="16">
        <f>0</f>
        <v>0</v>
      </c>
      <c r="C19" s="16">
        <f>0</f>
        <v>0</v>
      </c>
      <c r="D19" s="16">
        <f>0</f>
        <v>0</v>
      </c>
      <c r="E19" s="16">
        <f>0</f>
        <v>0</v>
      </c>
      <c r="F19" s="16">
        <f>0</f>
        <v>0</v>
      </c>
      <c r="G19" s="16">
        <f>0</f>
        <v>0</v>
      </c>
      <c r="H19" s="16">
        <f>0</f>
        <v>0</v>
      </c>
      <c r="I19" s="16">
        <f>0</f>
        <v>0</v>
      </c>
      <c r="J19" s="16">
        <f>0</f>
        <v>0</v>
      </c>
      <c r="K19" s="16">
        <f>0</f>
        <v>0</v>
      </c>
      <c r="L19" s="16">
        <f>0</f>
        <v>0</v>
      </c>
      <c r="M19" s="16">
        <f>0</f>
        <v>0</v>
      </c>
      <c r="N19" s="16">
        <f>N12*Assumptions!D5</f>
        <v>821.17331794537529</v>
      </c>
      <c r="O19" s="16">
        <f>(N12+O12)/2*Assumptions!D5</f>
        <v>1313.2525715691695</v>
      </c>
      <c r="P19" s="16">
        <f>(O12+P12)/2*Assumptions!D5</f>
        <v>2373.9765941285709</v>
      </c>
      <c r="Q19" s="16">
        <f>(P12+Q12)/2*Assumptions!D5</f>
        <v>3584.251249820119</v>
      </c>
      <c r="R19" s="16">
        <f>(Q12+R12)/2*Assumptions!D5</f>
        <v>4938.3018179998071</v>
      </c>
      <c r="S19" s="16">
        <f>(R12+S12)/2*Assumptions!D5</f>
        <v>6433.1931601090046</v>
      </c>
      <c r="T19" s="16">
        <f>(S12+T12)/2*Assumptions!D5</f>
        <v>8068.9960754969106</v>
      </c>
      <c r="U19" s="16">
        <f>(T12+U12)/2*Assumptions!D5</f>
        <v>9849.0209369511012</v>
      </c>
      <c r="V19" s="16">
        <f>(U12+V12)/2*Assumptions!D5</f>
        <v>11780.128207825037</v>
      </c>
      <c r="W19" s="16">
        <f>(V12+W12)/2*Assumptions!D5</f>
        <v>13873.127614453208</v>
      </c>
      <c r="X19" s="16">
        <f>(W12+X12)/2*Assumptions!D5</f>
        <v>16143.280304368265</v>
      </c>
      <c r="Y19" s="16">
        <f>(X12+Y12)/2*Assumptions!D5</f>
        <v>18610.921340162284</v>
      </c>
      <c r="Z19" s="16">
        <f>(Y12+Z12)/2*Assumptions!D5</f>
        <v>21301.444716305246</v>
      </c>
      <c r="AA19" s="16">
        <f>(Z12+AA12)/2*Assumptions!D5</f>
        <v>24243.50539300606</v>
      </c>
      <c r="AB19" s="16">
        <f>(AA12+AB12)/2*Assumptions!D5</f>
        <v>27476.102808727461</v>
      </c>
      <c r="AC19" s="16">
        <f>(AB12+AC12)/2*Assumptions!D5</f>
        <v>31052.639327273861</v>
      </c>
      <c r="AD19" s="16">
        <f>(AC12+AD12)/2*Assumptions!D5</f>
        <v>35037.368252266016</v>
      </c>
      <c r="AE19" s="16">
        <f>(AD12+AE12)/2*Assumptions!D5</f>
        <v>39507.39409034625</v>
      </c>
      <c r="AF19" s="16">
        <f>(AE12+AF12)/2*Assumptions!D5</f>
        <v>44555.05712017422</v>
      </c>
      <c r="AG19" s="16">
        <f>(AF12+AG12)/2*Assumptions!D5</f>
        <v>50290.77501567352</v>
      </c>
      <c r="AH19" s="16">
        <f>(AG12+AH12)/2*Assumptions!D5</f>
        <v>56846.428110549175</v>
      </c>
      <c r="AI19" s="16">
        <f>(AH12+AI12)/2*Assumptions!D5</f>
        <v>64379.391358014538</v>
      </c>
      <c r="AJ19" s="16">
        <f>(AI12+AJ12)/2*Assumptions!D5</f>
        <v>73077.33563438656</v>
      </c>
      <c r="AK19" s="16">
        <f>(AJ12+AK12)/2*Assumptions!D5</f>
        <v>83163.944352066785</v>
      </c>
      <c r="AL19" s="16">
        <f t="shared" si="2"/>
        <v>0</v>
      </c>
      <c r="AM19" s="16">
        <f t="shared" si="3"/>
        <v>97789.623190828861</v>
      </c>
      <c r="AN19" s="16">
        <f t="shared" si="4"/>
        <v>550931.38617878966</v>
      </c>
    </row>
    <row r="20" spans="1:41" ht="15" customHeight="1" x14ac:dyDescent="0.2">
      <c r="A20" s="3" t="s">
        <v>68</v>
      </c>
      <c r="B20" s="16">
        <f>0</f>
        <v>0</v>
      </c>
      <c r="C20" s="16">
        <f>0</f>
        <v>0</v>
      </c>
      <c r="D20" s="16">
        <f>0</f>
        <v>0</v>
      </c>
      <c r="E20" s="16">
        <f>0</f>
        <v>0</v>
      </c>
      <c r="F20" s="16">
        <f>0</f>
        <v>0</v>
      </c>
      <c r="G20" s="16">
        <f>G14*Assumptions!D6</f>
        <v>1017.45</v>
      </c>
      <c r="H20" s="16">
        <f>H14*Assumptions!D6</f>
        <v>2018.2122091849749</v>
      </c>
      <c r="I20" s="16">
        <f>I14*Assumptions!D6</f>
        <v>3002.5603337442071</v>
      </c>
      <c r="J20" s="16">
        <f>J14*Assumptions!D6</f>
        <v>3970.7635906521477</v>
      </c>
      <c r="K20" s="16">
        <f>K14*Assumptions!D6</f>
        <v>4923.0867812986444</v>
      </c>
      <c r="L20" s="16">
        <f>L14*Assumptions!D6</f>
        <v>5859.790363911522</v>
      </c>
      <c r="M20" s="16">
        <f>M14*Assumptions!D6</f>
        <v>6781.1305247913142</v>
      </c>
      <c r="N20" s="16">
        <f>N14*Assumptions!D7</f>
        <v>11540.672154832586</v>
      </c>
      <c r="O20" s="16">
        <f>O14*Assumptions!D7</f>
        <v>12878.836860435189</v>
      </c>
      <c r="P20" s="16">
        <f>P14*Assumptions!D7</f>
        <v>14195.053546299085</v>
      </c>
      <c r="Q20" s="16">
        <f>Q14*Assumptions!D7</f>
        <v>15489.682194695839</v>
      </c>
      <c r="R20" s="16">
        <f>R14*Assumptions!D7</f>
        <v>16763.076883617843</v>
      </c>
      <c r="S20" s="16">
        <f>S14*Assumptions!D7</f>
        <v>18015.585883617845</v>
      </c>
      <c r="T20" s="16">
        <f>T14*Assumptions!D7</f>
        <v>19247.551753060139</v>
      </c>
      <c r="U20" s="16">
        <f>U14*Assumptions!D7</f>
        <v>20459.311431809521</v>
      </c>
      <c r="V20" s="16">
        <f>V14*Assumptions!D7</f>
        <v>21651.196333383563</v>
      </c>
      <c r="W20" s="16">
        <f>W14*Assumptions!D7</f>
        <v>22823.532435593454</v>
      </c>
      <c r="X20" s="16">
        <f>X14*Assumptions!D7</f>
        <v>23976.640369698198</v>
      </c>
      <c r="Y20" s="16">
        <f>Y14*Assumptions!D7</f>
        <v>25110.835508096538</v>
      </c>
      <c r="Z20" s="16">
        <f>Z14*Assumptions!D7</f>
        <v>27933.578050580563</v>
      </c>
      <c r="AA20" s="16">
        <f>AA14*Assumptions!D7</f>
        <v>30710.02314643464</v>
      </c>
      <c r="AB20" s="16">
        <f>AB14*Assumptions!D7</f>
        <v>33440.930147081068</v>
      </c>
      <c r="AC20" s="16">
        <f>AC14*Assumptions!D7</f>
        <v>36127.045949376647</v>
      </c>
      <c r="AD20" s="16">
        <f>AD14*Assumptions!D7</f>
        <v>38769.105199887235</v>
      </c>
      <c r="AE20" s="16">
        <f>AE14*Assumptions!D7</f>
        <v>41367.830495811926</v>
      </c>
      <c r="AF20" s="16">
        <f>AF14*Assumptions!D7</f>
        <v>43923.932582611735</v>
      </c>
      <c r="AG20" s="16">
        <f>AG14*Assumptions!D7</f>
        <v>46438.110548396886</v>
      </c>
      <c r="AH20" s="16">
        <f>AH14*Assumptions!D7</f>
        <v>48911.052015125802</v>
      </c>
      <c r="AI20" s="16">
        <f>AI14*Assumptions!D7</f>
        <v>51343.43332666815</v>
      </c>
      <c r="AJ20" s="16">
        <f>AJ14*Assumptions!D7</f>
        <v>53735.919733783347</v>
      </c>
      <c r="AK20" s="16">
        <f>AK14*Assumptions!D7</f>
        <v>56089.165576065163</v>
      </c>
      <c r="AL20" s="16">
        <f t="shared" si="2"/>
        <v>27572.993803582809</v>
      </c>
      <c r="AM20" s="16">
        <f t="shared" si="3"/>
        <v>222151.97535513979</v>
      </c>
      <c r="AN20" s="16">
        <f t="shared" si="4"/>
        <v>508790.12677182315</v>
      </c>
    </row>
    <row r="21" spans="1:41" ht="15" customHeight="1" x14ac:dyDescent="0.2">
      <c r="A21" s="3" t="s">
        <v>69</v>
      </c>
      <c r="B21" s="16">
        <f>0</f>
        <v>0</v>
      </c>
      <c r="C21" s="16">
        <f>0</f>
        <v>0</v>
      </c>
      <c r="D21" s="16">
        <f>Assumptions!D35</f>
        <v>750</v>
      </c>
      <c r="E21" s="16">
        <f>Assumptions!D35</f>
        <v>750</v>
      </c>
      <c r="F21" s="16">
        <f>Assumptions!D35</f>
        <v>750</v>
      </c>
      <c r="G21" s="16">
        <f>Assumptions!D35</f>
        <v>750</v>
      </c>
      <c r="H21" s="16">
        <f>Assumptions!D35</f>
        <v>750</v>
      </c>
      <c r="I21" s="16">
        <f>Assumptions!D35</f>
        <v>750</v>
      </c>
      <c r="J21" s="16">
        <f>Assumptions!D35</f>
        <v>750</v>
      </c>
      <c r="K21" s="16">
        <f>Assumptions!D35</f>
        <v>750</v>
      </c>
      <c r="L21" s="16">
        <f>Assumptions!D35</f>
        <v>750</v>
      </c>
      <c r="M21" s="16">
        <f>Assumptions!D35</f>
        <v>750</v>
      </c>
      <c r="N21" s="16">
        <f>Assumptions!D36</f>
        <v>1500</v>
      </c>
      <c r="O21" s="16">
        <f>Assumptions!D36</f>
        <v>1500</v>
      </c>
      <c r="P21" s="16">
        <f>Assumptions!D36</f>
        <v>1500</v>
      </c>
      <c r="Q21" s="16">
        <f>Assumptions!D36</f>
        <v>1500</v>
      </c>
      <c r="R21" s="16">
        <f>Assumptions!D36</f>
        <v>1500</v>
      </c>
      <c r="S21" s="16">
        <f>Assumptions!D36</f>
        <v>1500</v>
      </c>
      <c r="T21" s="16">
        <f>Assumptions!D36</f>
        <v>1500</v>
      </c>
      <c r="U21" s="16">
        <f>Assumptions!D36</f>
        <v>1500</v>
      </c>
      <c r="V21" s="16">
        <f>Assumptions!D36</f>
        <v>1500</v>
      </c>
      <c r="W21" s="16">
        <f>Assumptions!D36</f>
        <v>1500</v>
      </c>
      <c r="X21" s="16">
        <f>Assumptions!D36</f>
        <v>1500</v>
      </c>
      <c r="Y21" s="16">
        <f>Assumptions!D36</f>
        <v>1500</v>
      </c>
      <c r="Z21" s="16">
        <f>Assumptions!D37</f>
        <v>2000</v>
      </c>
      <c r="AA21" s="16">
        <f>Assumptions!D37</f>
        <v>2000</v>
      </c>
      <c r="AB21" s="16">
        <f>Assumptions!D37</f>
        <v>2000</v>
      </c>
      <c r="AC21" s="16">
        <f>Assumptions!D37</f>
        <v>2000</v>
      </c>
      <c r="AD21" s="16">
        <f>Assumptions!D37</f>
        <v>2000</v>
      </c>
      <c r="AE21" s="16">
        <f>Assumptions!D37</f>
        <v>2000</v>
      </c>
      <c r="AF21" s="16">
        <f>Assumptions!D37</f>
        <v>2000</v>
      </c>
      <c r="AG21" s="16">
        <f>Assumptions!D37</f>
        <v>2000</v>
      </c>
      <c r="AH21" s="16">
        <f>Assumptions!D37</f>
        <v>2000</v>
      </c>
      <c r="AI21" s="16">
        <f>Assumptions!D37</f>
        <v>2000</v>
      </c>
      <c r="AJ21" s="16">
        <f>Assumptions!D37</f>
        <v>2000</v>
      </c>
      <c r="AK21" s="16">
        <f>Assumptions!D37</f>
        <v>2000</v>
      </c>
      <c r="AL21" s="16">
        <f t="shared" si="2"/>
        <v>7500</v>
      </c>
      <c r="AM21" s="16">
        <f t="shared" si="3"/>
        <v>18000</v>
      </c>
      <c r="AN21" s="16">
        <f t="shared" si="4"/>
        <v>24000</v>
      </c>
      <c r="AO21" t="s">
        <v>70</v>
      </c>
    </row>
    <row r="22" spans="1:41" ht="15" customHeight="1" x14ac:dyDescent="0.2">
      <c r="A22" s="3" t="s">
        <v>71</v>
      </c>
      <c r="B22" s="16">
        <f>0</f>
        <v>0</v>
      </c>
      <c r="C22" s="16">
        <f>0</f>
        <v>0</v>
      </c>
      <c r="D22" s="16">
        <f>0</f>
        <v>0</v>
      </c>
      <c r="E22" s="16">
        <f>0</f>
        <v>0</v>
      </c>
      <c r="F22" s="16">
        <f>0</f>
        <v>0</v>
      </c>
      <c r="G22" s="16">
        <f>G13*Assumptions!D39</f>
        <v>680</v>
      </c>
      <c r="H22" s="16">
        <f>H13*Assumptions!D39</f>
        <v>1360</v>
      </c>
      <c r="I22" s="16">
        <f>I13*Assumptions!D39</f>
        <v>2039.9999999999998</v>
      </c>
      <c r="J22" s="16">
        <f>J13*Assumptions!D39</f>
        <v>2720</v>
      </c>
      <c r="K22" s="16">
        <f>K13*Assumptions!D39</f>
        <v>3400</v>
      </c>
      <c r="L22" s="16">
        <f>L13*Assumptions!D39</f>
        <v>4079.9999999999995</v>
      </c>
      <c r="M22" s="16">
        <f>M13*Assumptions!D39</f>
        <v>4759.9999999999991</v>
      </c>
      <c r="N22" s="16">
        <f>N13*Assumptions!D39</f>
        <v>5439.9999999999991</v>
      </c>
      <c r="O22" s="16">
        <f>O13*Assumptions!D39</f>
        <v>6119.9999999999991</v>
      </c>
      <c r="P22" s="16">
        <f>P13*Assumptions!D39</f>
        <v>6799.9999999999982</v>
      </c>
      <c r="Q22" s="16">
        <f>Q13*Assumptions!D39</f>
        <v>7479.9999999999982</v>
      </c>
      <c r="R22" s="16">
        <f>R13*Assumptions!D39</f>
        <v>8159.9999999999982</v>
      </c>
      <c r="S22" s="16">
        <f>S13*Assumptions!D39</f>
        <v>8839.9999999999982</v>
      </c>
      <c r="T22" s="16">
        <f>T13*Assumptions!D39</f>
        <v>9519.9999999999982</v>
      </c>
      <c r="U22" s="16">
        <f>U13*Assumptions!D39</f>
        <v>10199.999999999996</v>
      </c>
      <c r="V22" s="16">
        <f>V13*Assumptions!D39</f>
        <v>10879.999999999996</v>
      </c>
      <c r="W22" s="16">
        <f>W13*Assumptions!D39</f>
        <v>11559.999999999996</v>
      </c>
      <c r="X22" s="16">
        <f>X13*Assumptions!D39</f>
        <v>12239.999999999996</v>
      </c>
      <c r="Y22" s="16">
        <f>Y13*Assumptions!D39</f>
        <v>12919.999999999996</v>
      </c>
      <c r="Z22" s="16">
        <f>Z13*Assumptions!D39</f>
        <v>14359.999999999996</v>
      </c>
      <c r="AA22" s="16">
        <f>AA13*Assumptions!D39</f>
        <v>15799.999999999996</v>
      </c>
      <c r="AB22" s="16">
        <f>AB13*Assumptions!D39</f>
        <v>17239.999999999996</v>
      </c>
      <c r="AC22" s="16">
        <f>AC13*Assumptions!D39</f>
        <v>18680</v>
      </c>
      <c r="AD22" s="16">
        <f>AD13*Assumptions!D39</f>
        <v>20120</v>
      </c>
      <c r="AE22" s="16">
        <f>AE13*Assumptions!D39</f>
        <v>21560</v>
      </c>
      <c r="AF22" s="16">
        <f>AF13*Assumptions!D39</f>
        <v>23000</v>
      </c>
      <c r="AG22" s="16">
        <f>AG13*Assumptions!D39</f>
        <v>24440</v>
      </c>
      <c r="AH22" s="16">
        <f>AH13*Assumptions!D39</f>
        <v>25880</v>
      </c>
      <c r="AI22" s="16">
        <f>AI13*Assumptions!D39</f>
        <v>27320</v>
      </c>
      <c r="AJ22" s="16">
        <f>AJ13*Assumptions!D39</f>
        <v>28759.999999999996</v>
      </c>
      <c r="AK22" s="16">
        <f>AK13*Assumptions!D39</f>
        <v>30199.999999999993</v>
      </c>
      <c r="AL22" s="16">
        <f t="shared" si="2"/>
        <v>19040</v>
      </c>
      <c r="AM22" s="16">
        <f t="shared" si="3"/>
        <v>110159.99999999999</v>
      </c>
      <c r="AN22" s="16">
        <f t="shared" si="4"/>
        <v>267360</v>
      </c>
    </row>
    <row r="23" spans="1:41" ht="15" customHeight="1" x14ac:dyDescent="0.2">
      <c r="A23" s="3" t="s">
        <v>72</v>
      </c>
      <c r="B23" s="16">
        <f>0</f>
        <v>0</v>
      </c>
      <c r="C23" s="16">
        <f>0</f>
        <v>0</v>
      </c>
      <c r="D23" s="16">
        <f>0</f>
        <v>0</v>
      </c>
      <c r="E23" s="16">
        <f>0</f>
        <v>0</v>
      </c>
      <c r="F23" s="16">
        <f>0</f>
        <v>0</v>
      </c>
      <c r="G23" s="16">
        <f>0</f>
        <v>0</v>
      </c>
      <c r="H23" s="16">
        <f>0</f>
        <v>0</v>
      </c>
      <c r="I23" s="16">
        <f>0</f>
        <v>0</v>
      </c>
      <c r="J23" s="16">
        <f>0</f>
        <v>0</v>
      </c>
      <c r="K23" s="16">
        <f>0</f>
        <v>0</v>
      </c>
      <c r="L23" s="16">
        <f>0</f>
        <v>0</v>
      </c>
      <c r="M23" s="16">
        <f>0</f>
        <v>0</v>
      </c>
      <c r="N23" s="16">
        <f>0</f>
        <v>0</v>
      </c>
      <c r="O23" s="16">
        <f>0</f>
        <v>0</v>
      </c>
      <c r="P23" s="16">
        <f>0</f>
        <v>0</v>
      </c>
      <c r="Q23" s="16">
        <f>0</f>
        <v>0</v>
      </c>
      <c r="R23" s="16">
        <f>0</f>
        <v>0</v>
      </c>
      <c r="S23" s="16">
        <f>0</f>
        <v>0</v>
      </c>
      <c r="T23" s="16">
        <f>0</f>
        <v>0</v>
      </c>
      <c r="U23" s="16">
        <f>0</f>
        <v>0</v>
      </c>
      <c r="V23" s="16">
        <f>0</f>
        <v>0</v>
      </c>
      <c r="W23" s="16">
        <f>0</f>
        <v>0</v>
      </c>
      <c r="X23" s="16">
        <f>0</f>
        <v>0</v>
      </c>
      <c r="Y23" s="16">
        <f>0</f>
        <v>0</v>
      </c>
      <c r="Z23" s="16">
        <f>Assumptions!D38</f>
        <v>2000</v>
      </c>
      <c r="AA23" s="16">
        <f>Assumptions!D38</f>
        <v>2000</v>
      </c>
      <c r="AB23" s="16">
        <f>Assumptions!D38</f>
        <v>2000</v>
      </c>
      <c r="AC23" s="16">
        <f>Assumptions!D38</f>
        <v>2000</v>
      </c>
      <c r="AD23" s="16">
        <f>Assumptions!D38</f>
        <v>2000</v>
      </c>
      <c r="AE23" s="16">
        <f>Assumptions!D38</f>
        <v>2000</v>
      </c>
      <c r="AF23" s="16">
        <f>Assumptions!D38</f>
        <v>2000</v>
      </c>
      <c r="AG23" s="16">
        <f>Assumptions!D38</f>
        <v>2000</v>
      </c>
      <c r="AH23" s="16">
        <f>Assumptions!D38</f>
        <v>2000</v>
      </c>
      <c r="AI23" s="16">
        <f>Assumptions!D38</f>
        <v>2000</v>
      </c>
      <c r="AJ23" s="16">
        <f>Assumptions!D38</f>
        <v>2000</v>
      </c>
      <c r="AK23" s="16">
        <f>Assumptions!D38</f>
        <v>2000</v>
      </c>
      <c r="AL23" s="16">
        <f t="shared" si="2"/>
        <v>0</v>
      </c>
      <c r="AM23" s="16">
        <f t="shared" si="3"/>
        <v>0</v>
      </c>
      <c r="AN23" s="16">
        <f t="shared" si="4"/>
        <v>24000</v>
      </c>
    </row>
    <row r="24" spans="1:41" ht="15" customHeight="1" x14ac:dyDescent="0.2">
      <c r="A24" s="13" t="s">
        <v>73</v>
      </c>
      <c r="B24" s="18">
        <f t="shared" ref="B24:AK24" si="5">B18+B19+B20+B21+B22+B23</f>
        <v>244.51000000000005</v>
      </c>
      <c r="C24" s="18">
        <f t="shared" si="5"/>
        <v>380.21305000000007</v>
      </c>
      <c r="D24" s="18">
        <f t="shared" si="5"/>
        <v>1418.4047615000002</v>
      </c>
      <c r="E24" s="18">
        <f t="shared" si="5"/>
        <v>3573.9733164501072</v>
      </c>
      <c r="F24" s="18">
        <f t="shared" si="5"/>
        <v>7461.5036430869659</v>
      </c>
      <c r="G24" s="18">
        <f t="shared" si="5"/>
        <v>12828.19684800458</v>
      </c>
      <c r="H24" s="18">
        <f t="shared" si="5"/>
        <v>17997.597278534151</v>
      </c>
      <c r="I24" s="18">
        <f t="shared" si="5"/>
        <v>23007.469027743045</v>
      </c>
      <c r="J24" s="18">
        <f t="shared" si="5"/>
        <v>27896.067183149629</v>
      </c>
      <c r="K24" s="18">
        <f t="shared" si="5"/>
        <v>32702.883845191169</v>
      </c>
      <c r="L24" s="18">
        <f t="shared" si="5"/>
        <v>37469.47194202942</v>
      </c>
      <c r="M24" s="18">
        <f t="shared" si="5"/>
        <v>42240.368755685864</v>
      </c>
      <c r="N24" s="18">
        <f t="shared" si="5"/>
        <v>54529.034570899777</v>
      </c>
      <c r="O24" s="18">
        <f t="shared" si="5"/>
        <v>64324.579302643077</v>
      </c>
      <c r="P24" s="18">
        <f t="shared" si="5"/>
        <v>74552.521626689224</v>
      </c>
      <c r="Q24" s="18">
        <f t="shared" si="5"/>
        <v>84887.665669286769</v>
      </c>
      <c r="R24" s="18">
        <f t="shared" si="5"/>
        <v>95425.906874354856</v>
      </c>
      <c r="S24" s="18">
        <f t="shared" si="5"/>
        <v>106276.18268651891</v>
      </c>
      <c r="T24" s="18">
        <f t="shared" si="5"/>
        <v>117563.44716067369</v>
      </c>
      <c r="U24" s="18">
        <f t="shared" si="5"/>
        <v>129432.17215551541</v>
      </c>
      <c r="V24" s="18">
        <f t="shared" si="5"/>
        <v>142050.48105060984</v>
      </c>
      <c r="W24" s="18">
        <f t="shared" si="5"/>
        <v>155615.04080863317</v>
      </c>
      <c r="X24" s="18">
        <f t="shared" si="5"/>
        <v>170356.86196559898</v>
      </c>
      <c r="Y24" s="18">
        <f t="shared" si="5"/>
        <v>186518.27000463085</v>
      </c>
      <c r="Z24" s="18">
        <f t="shared" si="5"/>
        <v>209251.52851315038</v>
      </c>
      <c r="AA24" s="18">
        <f t="shared" si="5"/>
        <v>231526.34856513966</v>
      </c>
      <c r="AB24" s="18">
        <f t="shared" si="5"/>
        <v>256488.19987721575</v>
      </c>
      <c r="AC24" s="18">
        <f t="shared" si="5"/>
        <v>284679.86075177958</v>
      </c>
      <c r="AD24" s="18">
        <f t="shared" si="5"/>
        <v>316746.37566368975</v>
      </c>
      <c r="AE24" s="18">
        <f t="shared" si="5"/>
        <v>353454.50785575446</v>
      </c>
      <c r="AF24" s="18">
        <f t="shared" si="5"/>
        <v>395715.88750555692</v>
      </c>
      <c r="AG24" s="18">
        <f t="shared" si="5"/>
        <v>444614.55761885771</v>
      </c>
      <c r="AH24" s="18">
        <f t="shared" si="5"/>
        <v>501439.75321543333</v>
      </c>
      <c r="AI24" s="18">
        <f t="shared" si="5"/>
        <v>567724.90813174646</v>
      </c>
      <c r="AJ24" s="18">
        <f t="shared" si="5"/>
        <v>645294.07268741506</v>
      </c>
      <c r="AK24" s="18">
        <f t="shared" si="5"/>
        <v>736317.15028021857</v>
      </c>
      <c r="AL24" s="18">
        <f t="shared" si="2"/>
        <v>207220.65965137494</v>
      </c>
      <c r="AM24" s="18">
        <f t="shared" si="3"/>
        <v>1381532.1638760546</v>
      </c>
      <c r="AN24" s="18">
        <f t="shared" si="4"/>
        <v>4943253.1506659584</v>
      </c>
    </row>
    <row r="25" spans="1:41" ht="15" customHeight="1" x14ac:dyDescent="0.2">
      <c r="A25" s="3" t="s">
        <v>74</v>
      </c>
      <c r="B25" s="16">
        <f t="shared" ref="B25:AK25" si="6">B18+B19+B20</f>
        <v>244.51000000000005</v>
      </c>
      <c r="C25" s="16">
        <f t="shared" si="6"/>
        <v>380.21305000000007</v>
      </c>
      <c r="D25" s="16">
        <f t="shared" si="6"/>
        <v>668.40476150000018</v>
      </c>
      <c r="E25" s="16">
        <f t="shared" si="6"/>
        <v>2823.9733164501072</v>
      </c>
      <c r="F25" s="16">
        <f t="shared" si="6"/>
        <v>6711.5036430869659</v>
      </c>
      <c r="G25" s="16">
        <f t="shared" si="6"/>
        <v>11398.19684800458</v>
      </c>
      <c r="H25" s="16">
        <f t="shared" si="6"/>
        <v>15887.597278534149</v>
      </c>
      <c r="I25" s="16">
        <f t="shared" si="6"/>
        <v>20217.469027743045</v>
      </c>
      <c r="J25" s="16">
        <f t="shared" si="6"/>
        <v>24426.067183149629</v>
      </c>
      <c r="K25" s="16">
        <f t="shared" si="6"/>
        <v>28552.883845191169</v>
      </c>
      <c r="L25" s="16">
        <f t="shared" si="6"/>
        <v>32639.47194202942</v>
      </c>
      <c r="M25" s="16">
        <f t="shared" si="6"/>
        <v>36730.368755685864</v>
      </c>
      <c r="N25" s="16">
        <f t="shared" si="6"/>
        <v>47589.034570899777</v>
      </c>
      <c r="O25" s="16">
        <f t="shared" si="6"/>
        <v>56704.579302643077</v>
      </c>
      <c r="P25" s="16">
        <f t="shared" si="6"/>
        <v>66252.521626689224</v>
      </c>
      <c r="Q25" s="16">
        <f t="shared" si="6"/>
        <v>75907.665669286769</v>
      </c>
      <c r="R25" s="16">
        <f t="shared" si="6"/>
        <v>85765.906874354856</v>
      </c>
      <c r="S25" s="16">
        <f t="shared" si="6"/>
        <v>95936.182686518907</v>
      </c>
      <c r="T25" s="16">
        <f t="shared" si="6"/>
        <v>106543.44716067369</v>
      </c>
      <c r="U25" s="16">
        <f t="shared" si="6"/>
        <v>117732.17215551541</v>
      </c>
      <c r="V25" s="16">
        <f t="shared" si="6"/>
        <v>129670.48105060983</v>
      </c>
      <c r="W25" s="16">
        <f t="shared" si="6"/>
        <v>142555.04080863317</v>
      </c>
      <c r="X25" s="16">
        <f t="shared" si="6"/>
        <v>156616.86196559898</v>
      </c>
      <c r="Y25" s="16">
        <f t="shared" si="6"/>
        <v>172098.27000463085</v>
      </c>
      <c r="Z25" s="16">
        <f t="shared" si="6"/>
        <v>190891.52851315038</v>
      </c>
      <c r="AA25" s="16">
        <f t="shared" si="6"/>
        <v>211726.34856513966</v>
      </c>
      <c r="AB25" s="16">
        <f t="shared" si="6"/>
        <v>235248.19987721575</v>
      </c>
      <c r="AC25" s="16">
        <f t="shared" si="6"/>
        <v>261999.86075177958</v>
      </c>
      <c r="AD25" s="16">
        <f t="shared" si="6"/>
        <v>292626.37566368975</v>
      </c>
      <c r="AE25" s="16">
        <f t="shared" si="6"/>
        <v>327894.50785575446</v>
      </c>
      <c r="AF25" s="16">
        <f t="shared" si="6"/>
        <v>368715.88750555692</v>
      </c>
      <c r="AG25" s="16">
        <f t="shared" si="6"/>
        <v>416174.55761885771</v>
      </c>
      <c r="AH25" s="16">
        <f t="shared" si="6"/>
        <v>471559.75321543333</v>
      </c>
      <c r="AI25" s="16">
        <f t="shared" si="6"/>
        <v>536404.90813174646</v>
      </c>
      <c r="AJ25" s="16">
        <f t="shared" si="6"/>
        <v>612534.07268741506</v>
      </c>
      <c r="AK25" s="16">
        <f t="shared" si="6"/>
        <v>702117.15028021857</v>
      </c>
      <c r="AL25" s="16">
        <f>M25</f>
        <v>36730.368755685864</v>
      </c>
      <c r="AM25" s="16">
        <f>Y25</f>
        <v>172098.27000463085</v>
      </c>
      <c r="AN25" s="16">
        <f>AK25</f>
        <v>702117.15028021857</v>
      </c>
      <c r="AO25" t="s">
        <v>75</v>
      </c>
    </row>
    <row r="26" spans="1:41" ht="15" customHeight="1" x14ac:dyDescent="0.2">
      <c r="A26" s="3" t="s">
        <v>76</v>
      </c>
      <c r="B26" s="2">
        <f t="shared" ref="B26:AK26" si="7">B25*12</f>
        <v>2934.1200000000008</v>
      </c>
      <c r="C26" s="2">
        <f t="shared" si="7"/>
        <v>4562.5566000000008</v>
      </c>
      <c r="D26" s="2">
        <f t="shared" si="7"/>
        <v>8020.8571380000021</v>
      </c>
      <c r="E26" s="2">
        <f t="shared" si="7"/>
        <v>33887.679797401288</v>
      </c>
      <c r="F26" s="2">
        <f t="shared" si="7"/>
        <v>80538.043717043591</v>
      </c>
      <c r="G26" s="2">
        <f t="shared" si="7"/>
        <v>136778.36217605497</v>
      </c>
      <c r="H26" s="2">
        <f t="shared" si="7"/>
        <v>190651.16734240978</v>
      </c>
      <c r="I26" s="2">
        <f t="shared" si="7"/>
        <v>242609.62833291653</v>
      </c>
      <c r="J26" s="2">
        <f t="shared" si="7"/>
        <v>293112.80619779555</v>
      </c>
      <c r="K26" s="2">
        <f t="shared" si="7"/>
        <v>342634.60614229401</v>
      </c>
      <c r="L26" s="2">
        <f t="shared" si="7"/>
        <v>391673.66330435302</v>
      </c>
      <c r="M26" s="2">
        <f t="shared" si="7"/>
        <v>440764.42506823037</v>
      </c>
      <c r="N26" s="2">
        <f t="shared" si="7"/>
        <v>571068.41485079727</v>
      </c>
      <c r="O26" s="2">
        <f t="shared" si="7"/>
        <v>680454.95163171692</v>
      </c>
      <c r="P26" s="2">
        <f t="shared" si="7"/>
        <v>795030.25952027063</v>
      </c>
      <c r="Q26" s="2">
        <f t="shared" si="7"/>
        <v>910891.98803144123</v>
      </c>
      <c r="R26" s="2">
        <f t="shared" si="7"/>
        <v>1029190.8824922582</v>
      </c>
      <c r="S26" s="2">
        <f t="shared" si="7"/>
        <v>1151234.192238227</v>
      </c>
      <c r="T26" s="2">
        <f t="shared" si="7"/>
        <v>1278521.3659280844</v>
      </c>
      <c r="U26" s="2">
        <f t="shared" si="7"/>
        <v>1412786.0658661849</v>
      </c>
      <c r="V26" s="2">
        <f t="shared" si="7"/>
        <v>1556045.7726073179</v>
      </c>
      <c r="W26" s="2">
        <f t="shared" si="7"/>
        <v>1710660.489703598</v>
      </c>
      <c r="X26" s="2">
        <f t="shared" si="7"/>
        <v>1879402.3435871876</v>
      </c>
      <c r="Y26" s="2">
        <f t="shared" si="7"/>
        <v>2065179.2400555701</v>
      </c>
      <c r="Z26" s="2">
        <f t="shared" si="7"/>
        <v>2290698.3421578044</v>
      </c>
      <c r="AA26" s="2">
        <f t="shared" si="7"/>
        <v>2540716.1827816758</v>
      </c>
      <c r="AB26" s="2">
        <f t="shared" si="7"/>
        <v>2822978.3985265889</v>
      </c>
      <c r="AC26" s="2">
        <f t="shared" si="7"/>
        <v>3143998.3290213551</v>
      </c>
      <c r="AD26" s="2">
        <f t="shared" si="7"/>
        <v>3511516.5079642767</v>
      </c>
      <c r="AE26" s="2">
        <f t="shared" si="7"/>
        <v>3934734.0942690535</v>
      </c>
      <c r="AF26" s="2">
        <f t="shared" si="7"/>
        <v>4424590.6500666831</v>
      </c>
      <c r="AG26" s="2">
        <f t="shared" si="7"/>
        <v>4994094.6914262921</v>
      </c>
      <c r="AH26" s="2">
        <f t="shared" si="7"/>
        <v>5658717.0385852</v>
      </c>
      <c r="AI26" s="2">
        <f t="shared" si="7"/>
        <v>6436858.897580957</v>
      </c>
      <c r="AJ26" s="2">
        <f t="shared" si="7"/>
        <v>7350408.8722489811</v>
      </c>
      <c r="AK26" s="2">
        <f t="shared" si="7"/>
        <v>8425405.8033626229</v>
      </c>
      <c r="AL26" s="2">
        <f>M26</f>
        <v>440764.42506823037</v>
      </c>
      <c r="AM26" s="2">
        <f>Y26</f>
        <v>2065179.2400555701</v>
      </c>
      <c r="AN26" s="2">
        <f>AK26</f>
        <v>8425405.8033626229</v>
      </c>
    </row>
    <row r="28" spans="1:41" ht="15" customHeight="1" x14ac:dyDescent="0.2">
      <c r="A28" s="30" t="s">
        <v>77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</row>
    <row r="29" spans="1:41" ht="15" customHeight="1" x14ac:dyDescent="0.2">
      <c r="A29" s="3" t="s">
        <v>78</v>
      </c>
      <c r="B29" s="16">
        <f>SUM(B18:B18)+SUM(B19:B19)</f>
        <v>244.51000000000005</v>
      </c>
      <c r="C29" s="16">
        <f>SUM(B18:C18)+SUM(B19:C19)</f>
        <v>624.72305000000006</v>
      </c>
      <c r="D29" s="16">
        <f>SUM(B18:D18)+SUM(B19:D19)</f>
        <v>1293.1278115000002</v>
      </c>
      <c r="E29" s="16">
        <f>SUM(B18:E18)+SUM(B19:E19)</f>
        <v>4117.1011279501072</v>
      </c>
      <c r="F29" s="16">
        <f>SUM(B18:F18)+SUM(B19:F19)</f>
        <v>10828.604771037073</v>
      </c>
      <c r="G29" s="16">
        <f>SUM(B18:G18)+SUM(B19:G19)</f>
        <v>21209.351619041652</v>
      </c>
      <c r="H29" s="16">
        <f>SUM(B18:H18)+SUM(B19:H19)</f>
        <v>35078.736688390825</v>
      </c>
      <c r="I29" s="16">
        <f>SUM(B18:I18)+SUM(B19:I19)</f>
        <v>52293.645382389659</v>
      </c>
      <c r="J29" s="16">
        <f>SUM(B18:J18)+SUM(B19:J19)</f>
        <v>72748.948974887142</v>
      </c>
      <c r="K29" s="16">
        <f>SUM(B18:K18)+SUM(B19:K19)</f>
        <v>96378.746038779675</v>
      </c>
      <c r="L29" s="16">
        <f>SUM(B18:L18)+SUM(B19:L19)</f>
        <v>123158.42761689758</v>
      </c>
      <c r="M29" s="16">
        <f t="shared" ref="M29:AK29" si="8">SUM(B18:M18)+SUM(B19:M19)</f>
        <v>153107.66584779212</v>
      </c>
      <c r="N29" s="16">
        <f t="shared" si="8"/>
        <v>188911.51826385933</v>
      </c>
      <c r="O29" s="16">
        <f t="shared" si="8"/>
        <v>232357.04765606724</v>
      </c>
      <c r="P29" s="16">
        <f t="shared" si="8"/>
        <v>283746.11097495735</v>
      </c>
      <c r="Q29" s="16">
        <f t="shared" si="8"/>
        <v>341340.12113309826</v>
      </c>
      <c r="R29" s="16">
        <f t="shared" si="8"/>
        <v>403631.44748074829</v>
      </c>
      <c r="S29" s="16">
        <f t="shared" si="8"/>
        <v>471171.29743564478</v>
      </c>
      <c r="T29" s="16">
        <f t="shared" si="8"/>
        <v>544597.80777390918</v>
      </c>
      <c r="U29" s="16">
        <f t="shared" si="8"/>
        <v>624655.75980361621</v>
      </c>
      <c r="V29" s="16">
        <f t="shared" si="8"/>
        <v>712219.74092834501</v>
      </c>
      <c r="W29" s="16">
        <f t="shared" si="8"/>
        <v>808321.45223749231</v>
      </c>
      <c r="X29" s="16">
        <f t="shared" si="8"/>
        <v>914181.99225527502</v>
      </c>
      <c r="Y29" s="16">
        <f t="shared" si="8"/>
        <v>1031220.1885209148</v>
      </c>
      <c r="Z29" s="16">
        <f t="shared" si="8"/>
        <v>1158129.7765674174</v>
      </c>
      <c r="AA29" s="16">
        <f t="shared" si="8"/>
        <v>1295320.3595439144</v>
      </c>
      <c r="AB29" s="16">
        <f t="shared" si="8"/>
        <v>1445070.1611936591</v>
      </c>
      <c r="AC29" s="16">
        <f t="shared" si="8"/>
        <v>1610524.9925214713</v>
      </c>
      <c r="AD29" s="16">
        <f t="shared" si="8"/>
        <v>1795379.4329945364</v>
      </c>
      <c r="AE29" s="16">
        <f t="shared" si="8"/>
        <v>2003985.5135515782</v>
      </c>
      <c r="AF29" s="16">
        <f t="shared" si="8"/>
        <v>2241481.5730669098</v>
      </c>
      <c r="AG29" s="16">
        <f t="shared" si="8"/>
        <v>2513945.1594136646</v>
      </c>
      <c r="AH29" s="16">
        <f t="shared" si="8"/>
        <v>2828574.575896746</v>
      </c>
      <c r="AI29" s="16">
        <f t="shared" si="8"/>
        <v>3193904.5423287847</v>
      </c>
      <c r="AJ29" s="16">
        <f t="shared" si="8"/>
        <v>3620062.4736865154</v>
      </c>
      <c r="AK29" s="16">
        <f t="shared" si="8"/>
        <v>4119103.0238941344</v>
      </c>
    </row>
    <row r="30" spans="1:41" ht="15" customHeight="1" x14ac:dyDescent="0.2">
      <c r="A30" s="3" t="s">
        <v>79</v>
      </c>
      <c r="B30" s="16">
        <f>IF(B29&lt;Assumptions!D43,(B18+B19)*Assumptions!D41,(B18+B19)*Assumptions!D42)</f>
        <v>36.676500000000004</v>
      </c>
      <c r="C30" s="16">
        <f>IF(C29&lt;Assumptions!D43,(C18+C19)*Assumptions!D41,(C18+C19)*Assumptions!D42)</f>
        <v>57.031957500000011</v>
      </c>
      <c r="D30" s="16">
        <f>IF(D29&lt;Assumptions!D43,(D18+D19)*Assumptions!D41,(D18+D19)*Assumptions!D42)</f>
        <v>100.26071422500003</v>
      </c>
      <c r="E30" s="16">
        <f>IF(E29&lt;Assumptions!D43,(E18+E19)*Assumptions!D41,(E18+E19)*Assumptions!D42)</f>
        <v>423.59599746751604</v>
      </c>
      <c r="F30" s="16">
        <f>IF(F29&lt;Assumptions!D43,(F18+F19)*Assumptions!D41,(F18+F19)*Assumptions!D42)</f>
        <v>1006.7255464630448</v>
      </c>
      <c r="G30" s="16">
        <f>IF(G29&lt;Assumptions!D43,(G18+G19)*Assumptions!D41,(G18+G19)*Assumptions!D42)</f>
        <v>1557.1120272006867</v>
      </c>
      <c r="H30" s="16">
        <f>IF(H29&lt;Assumptions!D43,(H18+H19)*Assumptions!D41,(H18+H19)*Assumptions!D42)</f>
        <v>2080.407760402376</v>
      </c>
      <c r="I30" s="16">
        <f>IF(I29&lt;Assumptions!D43,(I18+I19)*Assumptions!D41,(I18+I19)*Assumptions!D42)</f>
        <v>2582.2363040998257</v>
      </c>
      <c r="J30" s="16">
        <f>IF(J29&lt;Assumptions!D43,(J18+J19)*Assumptions!D41,(J18+J19)*Assumptions!D42)</f>
        <v>3068.2955388746223</v>
      </c>
      <c r="K30" s="16">
        <f>IF(K29&lt;Assumptions!D43,(K18+K19)*Assumptions!D41,(K18+K19)*Assumptions!D42)</f>
        <v>3544.4695595838789</v>
      </c>
      <c r="L30" s="16">
        <f>IF(L29&lt;Assumptions!D43,(L18+L19)*Assumptions!D41,(L18+L19)*Assumptions!D42)</f>
        <v>4016.9522367176846</v>
      </c>
      <c r="M30" s="16">
        <f>IF(M29&lt;Assumptions!D43,(M18+M19)*Assumptions!D41,(M18+M19)*Assumptions!D42)</f>
        <v>4492.3857346341829</v>
      </c>
      <c r="N30" s="16">
        <f>IF(N29&lt;Assumptions!D43,(N18+N19)*Assumptions!D41,(N18+N19)*Assumptions!D42)</f>
        <v>5407.2543624100781</v>
      </c>
      <c r="O30" s="16">
        <f>IF(O29&lt;Assumptions!D43,(O18+O19)*Assumptions!D41,(O18+O19)*Assumptions!D42)</f>
        <v>6573.8613663311835</v>
      </c>
      <c r="P30" s="16">
        <f>IF(P29&lt;Assumptions!D43,(P18+P19)*Assumptions!D41,(P18+P19)*Assumptions!D42)</f>
        <v>7808.6202120585212</v>
      </c>
      <c r="Q30" s="16">
        <f>IF(Q29&lt;Assumptions!D43,(Q18+Q19)*Assumptions!D41,(Q18+Q19)*Assumptions!D42)</f>
        <v>9062.6975211886402</v>
      </c>
      <c r="R30" s="16">
        <f>IF(R29&lt;Assumptions!D43,(R18+R19)*Assumptions!D41,(R18+R19)*Assumptions!D42)</f>
        <v>10350.424498610551</v>
      </c>
      <c r="S30" s="16">
        <f>IF(S29&lt;Assumptions!D43,(S18+S19)*Assumptions!D41,(S18+S19)*Assumptions!D42)</f>
        <v>11688.08952043516</v>
      </c>
      <c r="T30" s="16">
        <f>IF(T29&lt;Assumptions!D43,(T18+T19)*Assumptions!D41,(T18+T19)*Assumptions!D42)</f>
        <v>13094.384311142034</v>
      </c>
      <c r="U30" s="16">
        <f>IF(U29&lt;Assumptions!D43,(U18+U19)*Assumptions!D41,(U18+U19)*Assumptions!D42)</f>
        <v>14590.929108555883</v>
      </c>
      <c r="V30" s="16">
        <f>IF(V29&lt;Assumptions!D43,(V18+V19)*Assumptions!D41,(V18+V19)*Assumptions!D42)</f>
        <v>16202.89270758394</v>
      </c>
      <c r="W30" s="16">
        <f>IF(W29&lt;Assumptions!D43,(W18+W19)*Assumptions!D41,(W18+W19)*Assumptions!D42)</f>
        <v>17959.72625595596</v>
      </c>
      <c r="X30" s="16">
        <f>IF(X29&lt;Assumptions!D43,(X18+X19)*Assumptions!D41,(X18+X19)*Assumptions!D42)</f>
        <v>39792.066478770234</v>
      </c>
      <c r="Y30" s="16">
        <f>IF(Y29&lt;Assumptions!D43,(Y18+Y19)*Assumptions!D41,(Y18+Y19)*Assumptions!D42)</f>
        <v>44096.230348960293</v>
      </c>
      <c r="Z30" s="16">
        <f>IF(Z29&lt;Assumptions!D43,(Z18+Z19)*Assumptions!D41,(Z18+Z19)*Assumptions!D42)</f>
        <v>48887.385138770936</v>
      </c>
      <c r="AA30" s="16">
        <f>IF(AA29&lt;Assumptions!D43,(AA18+AA19)*Assumptions!D41,(AA18+AA19)*Assumptions!D42)</f>
        <v>54304.897625611506</v>
      </c>
      <c r="AB30" s="16">
        <f>IF(AB29&lt;Assumptions!D43,(AB18+AB19)*Assumptions!D41,(AB18+AB19)*Assumptions!D42)</f>
        <v>60542.180919040402</v>
      </c>
      <c r="AC30" s="16">
        <f>IF(AC29&lt;Assumptions!D43,(AC18+AC19)*Assumptions!D41,(AC18+AC19)*Assumptions!D42)</f>
        <v>67761.844440720874</v>
      </c>
      <c r="AD30" s="16">
        <f>IF(AD29&lt;Assumptions!D43,(AD18+AD19)*Assumptions!D41,(AD18+AD19)*Assumptions!D42)</f>
        <v>76157.181139140754</v>
      </c>
      <c r="AE30" s="16">
        <f>IF(AE29&lt;Assumptions!D43,(AE18+AE19)*Assumptions!D41,(AE18+AE19)*Assumptions!D42)</f>
        <v>85958.003207982751</v>
      </c>
      <c r="AF30" s="16">
        <f>IF(AF29&lt;Assumptions!D43,(AF18+AF19)*Assumptions!D41,(AF18+AF19)*Assumptions!D42)</f>
        <v>97437.586476883545</v>
      </c>
      <c r="AG30" s="16">
        <f>IF(AG29&lt;Assumptions!D43,(AG18+AG19)*Assumptions!D41,(AG18+AG19)*Assumptions!D42)</f>
        <v>110920.93412113824</v>
      </c>
      <c r="AH30" s="16">
        <f>IF(AH29&lt;Assumptions!D43,(AH18+AH19)*Assumptions!D41,(AH18+AH19)*Assumptions!D42)</f>
        <v>126794.61036009225</v>
      </c>
      <c r="AI30" s="16">
        <f>IF(AI29&lt;Assumptions!D43,(AI18+AI19)*Assumptions!D41,(AI18+AI19)*Assumptions!D42)</f>
        <v>145518.44244152351</v>
      </c>
      <c r="AJ30" s="16">
        <f>IF(AJ29&lt;Assumptions!D43,(AJ18+AJ19)*Assumptions!D41,(AJ18+AJ19)*Assumptions!D42)</f>
        <v>167639.4458860895</v>
      </c>
      <c r="AK30" s="16">
        <f>IF(AK29&lt;Assumptions!D43,(AK18+AK19)*Assumptions!D41,(AK18+AK19)*Assumptions!D42)</f>
        <v>193808.39541124602</v>
      </c>
      <c r="AL30" s="16">
        <f t="shared" ref="AL30:AL42" si="9">SUM(B30:M30)</f>
        <v>22966.149877168817</v>
      </c>
      <c r="AM30" s="16">
        <f t="shared" ref="AM30:AM42" si="10">SUM(N30:Y30)</f>
        <v>196627.17669200248</v>
      </c>
      <c r="AN30" s="16">
        <f t="shared" ref="AN30:AN42" si="11">SUM(Z30:AK30)</f>
        <v>1235730.9071682403</v>
      </c>
      <c r="AO30" t="s">
        <v>80</v>
      </c>
    </row>
    <row r="31" spans="1:41" ht="15" customHeight="1" x14ac:dyDescent="0.2">
      <c r="A31" s="3" t="s">
        <v>81</v>
      </c>
      <c r="B31" s="16">
        <f>B20*Assumptions!D44</f>
        <v>0</v>
      </c>
      <c r="C31" s="16">
        <f>C20*Assumptions!D44</f>
        <v>0</v>
      </c>
      <c r="D31" s="16">
        <f>D20*Assumptions!D44</f>
        <v>0</v>
      </c>
      <c r="E31" s="16">
        <f>E20*Assumptions!D44</f>
        <v>0</v>
      </c>
      <c r="F31" s="16">
        <f>F20*Assumptions!D44</f>
        <v>0</v>
      </c>
      <c r="G31" s="16">
        <f>G20*Assumptions!D44</f>
        <v>14.244300000000001</v>
      </c>
      <c r="H31" s="16">
        <f>H20*Assumptions!D44</f>
        <v>28.25497092858965</v>
      </c>
      <c r="I31" s="16">
        <f>I20*Assumptions!D44</f>
        <v>42.035844672418904</v>
      </c>
      <c r="J31" s="16">
        <f>J20*Assumptions!D44</f>
        <v>55.590690269130071</v>
      </c>
      <c r="K31" s="16">
        <f>K20*Assumptions!D44</f>
        <v>68.923214938181019</v>
      </c>
      <c r="L31" s="16">
        <f>L20*Assumptions!D44</f>
        <v>82.037065094761317</v>
      </c>
      <c r="M31" s="16">
        <f>M20*Assumptions!D44</f>
        <v>94.935827347078401</v>
      </c>
      <c r="N31" s="16">
        <f>N20*Assumptions!D44</f>
        <v>161.5694101676562</v>
      </c>
      <c r="O31" s="16">
        <f>O20*Assumptions!D44</f>
        <v>180.30371604609266</v>
      </c>
      <c r="P31" s="16">
        <f>P20*Assumptions!D44</f>
        <v>198.73074964818719</v>
      </c>
      <c r="Q31" s="16">
        <f>Q20*Assumptions!D44</f>
        <v>216.85555072574175</v>
      </c>
      <c r="R31" s="16">
        <f>R20*Assumptions!D44</f>
        <v>234.68307637064981</v>
      </c>
      <c r="S31" s="16">
        <f>S20*Assumptions!D44</f>
        <v>252.21820237064983</v>
      </c>
      <c r="T31" s="16">
        <f>T20*Assumptions!D44</f>
        <v>269.46572454284194</v>
      </c>
      <c r="U31" s="16">
        <f>U20*Assumptions!D44</f>
        <v>286.43036004533332</v>
      </c>
      <c r="V31" s="16">
        <f>V20*Assumptions!D44</f>
        <v>303.1167486673699</v>
      </c>
      <c r="W31" s="16">
        <f>W20*Assumptions!D44</f>
        <v>319.52945409830835</v>
      </c>
      <c r="X31" s="16">
        <f>X20*Assumptions!D44</f>
        <v>335.67296517577478</v>
      </c>
      <c r="Y31" s="16">
        <f>Y20*Assumptions!D44</f>
        <v>351.55169711335151</v>
      </c>
      <c r="Z31" s="16">
        <f>Z20*Assumptions!D44</f>
        <v>391.0700927081279</v>
      </c>
      <c r="AA31" s="16">
        <f>AA20*Assumptions!D44</f>
        <v>429.94032405008494</v>
      </c>
      <c r="AB31" s="16">
        <f>AB20*Assumptions!D44</f>
        <v>468.17302205913495</v>
      </c>
      <c r="AC31" s="16">
        <f>AC20*Assumptions!D44</f>
        <v>505.77864329127306</v>
      </c>
      <c r="AD31" s="16">
        <f>AD20*Assumptions!D44</f>
        <v>542.7674727984213</v>
      </c>
      <c r="AE31" s="16">
        <f>AE20*Assumptions!D44</f>
        <v>579.14962694136693</v>
      </c>
      <c r="AF31" s="16">
        <f>AF20*Assumptions!D44</f>
        <v>614.93505615656431</v>
      </c>
      <c r="AG31" s="16">
        <f>AG20*Assumptions!D44</f>
        <v>650.13354767755641</v>
      </c>
      <c r="AH31" s="16">
        <f>AH20*Assumptions!D44</f>
        <v>684.75472821176129</v>
      </c>
      <c r="AI31" s="16">
        <f>AI20*Assumptions!D44</f>
        <v>718.80806657335415</v>
      </c>
      <c r="AJ31" s="16">
        <f>AJ20*Assumptions!D44</f>
        <v>752.30287627296684</v>
      </c>
      <c r="AK31" s="16">
        <f>AK20*Assumptions!D44</f>
        <v>785.24831806491227</v>
      </c>
      <c r="AL31" s="16">
        <f t="shared" si="9"/>
        <v>386.0219132501594</v>
      </c>
      <c r="AM31" s="16">
        <f t="shared" si="10"/>
        <v>3110.1276549719573</v>
      </c>
      <c r="AN31" s="16">
        <f t="shared" si="11"/>
        <v>7123.0617748055247</v>
      </c>
    </row>
    <row r="32" spans="1:41" ht="15" customHeight="1" x14ac:dyDescent="0.2">
      <c r="A32" s="3" t="s">
        <v>82</v>
      </c>
      <c r="B32" s="16">
        <f>0</f>
        <v>0</v>
      </c>
      <c r="C32" s="16">
        <f>0</f>
        <v>0</v>
      </c>
      <c r="D32" s="16">
        <f>0</f>
        <v>0</v>
      </c>
      <c r="E32" s="16">
        <f>0</f>
        <v>0</v>
      </c>
      <c r="F32" s="16">
        <f>0</f>
        <v>0</v>
      </c>
      <c r="G32" s="16">
        <f>MIN(Assumptions!D48,Assumptions!D46+(G15/500)*Assumptions!D47)</f>
        <v>669.29838917305506</v>
      </c>
      <c r="H32" s="16">
        <f>MIN(Assumptions!D48,Assumptions!D46+(H15/500)*Assumptions!D47)</f>
        <v>762.67054758386462</v>
      </c>
      <c r="I32" s="16">
        <f>MIN(Assumptions!D48,Assumptions!D46+(I15/500)*Assumptions!D47)</f>
        <v>853.13965109583728</v>
      </c>
      <c r="J32" s="16">
        <f>MIN(Assumptions!D48,Assumptions!D46+(J15/500)*Assumptions!D47)</f>
        <v>941.48221946667979</v>
      </c>
      <c r="K32" s="16">
        <f>MIN(Assumptions!D48,Assumptions!D46+(K15/500)*Assumptions!D47)</f>
        <v>1028.5073532923561</v>
      </c>
      <c r="L32" s="16">
        <f>MIN(Assumptions!D48,Assumptions!D46+(L15/500)*Assumptions!D47)</f>
        <v>1115.074125193335</v>
      </c>
      <c r="M32" s="16">
        <f>MIN(Assumptions!D48,Assumptions!D46+(M15/500)*Assumptions!D47)</f>
        <v>1202.1112044492368</v>
      </c>
      <c r="N32" s="16">
        <f>MIN(Assumptions!D48,Assumptions!D46+(N15/500)*Assumptions!D47)</f>
        <v>1378.7405541411695</v>
      </c>
      <c r="O32" s="16">
        <f>MIN(Assumptions!D48,Assumptions!D46+(O15/500)*Assumptions!D47)</f>
        <v>1553.0575636710241</v>
      </c>
      <c r="P32" s="16">
        <f>MIN(Assumptions!D48,Assumptions!D46+(P15/500)*Assumptions!D47)</f>
        <v>1726.8003880491558</v>
      </c>
      <c r="Q32" s="16">
        <f>MIN(Assumptions!D48,Assumptions!D46+(Q15/500)*Assumptions!D47)</f>
        <v>1901.861036152321</v>
      </c>
      <c r="R32" s="16">
        <f>MIN(Assumptions!D48,Assumptions!D46+(R15/500)*Assumptions!D47)</f>
        <v>2080.3312747205387</v>
      </c>
      <c r="S32" s="16">
        <f>MIN(Assumptions!D48,Assumptions!D46+(S15/500)*Assumptions!D47)</f>
        <v>2264.5557839551075</v>
      </c>
      <c r="T32" s="16">
        <f>MIN(Assumptions!D48,Assumptions!D46+(T15/500)*Assumptions!D47)</f>
        <v>2457.1941178604752</v>
      </c>
      <c r="U32" s="16">
        <f>MIN(Assumptions!D48,Assumptions!D46+(U15/500)*Assumptions!D47)</f>
        <v>2661.2933047099427</v>
      </c>
      <c r="V32" s="16">
        <f>MIN(Assumptions!D48,Assumptions!D46+(V15/500)*Assumptions!D47)</f>
        <v>2880.3732613197317</v>
      </c>
      <c r="W32" s="16">
        <f>MIN(Assumptions!D48,Assumptions!D46+(W15/500)*Assumptions!D47)</f>
        <v>3118.5275997798203</v>
      </c>
      <c r="X32" s="16">
        <f>MIN(Assumptions!D48,Assumptions!D46+(X15/500)*Assumptions!D47)</f>
        <v>3380.5428895659925</v>
      </c>
      <c r="Y32" s="16">
        <f>MIN(Assumptions!D48,Assumptions!D46+(Y15/500)*Assumptions!D47)</f>
        <v>3500</v>
      </c>
      <c r="Z32" s="16">
        <f>MIN(Assumptions!D48,Assumptions!D46+(Z15/500)*Assumptions!D47)</f>
        <v>3500</v>
      </c>
      <c r="AA32" s="16">
        <f>MIN(Assumptions!D48,Assumptions!D46+(AA15/500)*Assumptions!D47)</f>
        <v>3500</v>
      </c>
      <c r="AB32" s="16">
        <f>MIN(Assumptions!D48,Assumptions!D46+(AB15/500)*Assumptions!D47)</f>
        <v>3500</v>
      </c>
      <c r="AC32" s="16">
        <f>MIN(Assumptions!D48,Assumptions!D46+(AC15/500)*Assumptions!D47)</f>
        <v>3500</v>
      </c>
      <c r="AD32" s="16">
        <f>MIN(Assumptions!D48,Assumptions!D46+(AD15/500)*Assumptions!D47)</f>
        <v>3500</v>
      </c>
      <c r="AE32" s="16">
        <f>MIN(Assumptions!D48,Assumptions!D46+(AE15/500)*Assumptions!D47)</f>
        <v>3500</v>
      </c>
      <c r="AF32" s="16">
        <f>MIN(Assumptions!D48,Assumptions!D46+(AF15/500)*Assumptions!D47)</f>
        <v>3500</v>
      </c>
      <c r="AG32" s="16">
        <f>MIN(Assumptions!D48,Assumptions!D46+(AG15/500)*Assumptions!D47)</f>
        <v>3500</v>
      </c>
      <c r="AH32" s="16">
        <f>MIN(Assumptions!D48,Assumptions!D46+(AH15/500)*Assumptions!D47)</f>
        <v>3500</v>
      </c>
      <c r="AI32" s="16">
        <f>MIN(Assumptions!D48,Assumptions!D46+(AI15/500)*Assumptions!D47)</f>
        <v>3500</v>
      </c>
      <c r="AJ32" s="16">
        <f>MIN(Assumptions!D48,Assumptions!D46+(AJ15/500)*Assumptions!D47)</f>
        <v>3500</v>
      </c>
      <c r="AK32" s="16">
        <f>MIN(Assumptions!D48,Assumptions!D46+(AK15/500)*Assumptions!D47)</f>
        <v>3500</v>
      </c>
      <c r="AL32" s="16">
        <f t="shared" si="9"/>
        <v>6572.2834902543646</v>
      </c>
      <c r="AM32" s="16">
        <f t="shared" si="10"/>
        <v>28903.277773925282</v>
      </c>
      <c r="AN32" s="16">
        <f t="shared" si="11"/>
        <v>42000</v>
      </c>
    </row>
    <row r="33" spans="1:41" ht="15" customHeight="1" x14ac:dyDescent="0.2">
      <c r="A33" s="3" t="s">
        <v>83</v>
      </c>
      <c r="B33" s="16">
        <f>80</f>
        <v>80</v>
      </c>
      <c r="C33" s="16">
        <f>80</f>
        <v>80</v>
      </c>
      <c r="D33" s="16">
        <f>MIN(Assumptions!D71,Assumptions!D69+(D15/400)*Assumptions!D70)</f>
        <v>661.69038750000004</v>
      </c>
      <c r="E33" s="16">
        <f>MIN(Assumptions!D71,Assumptions!D69+(E15/400)*Assumptions!D70)</f>
        <v>962.75449974200001</v>
      </c>
      <c r="F33" s="16">
        <f>MIN(Assumptions!D71,Assumptions!D69+(F15/400)*Assumptions!D70)</f>
        <v>1245.9885327861011</v>
      </c>
      <c r="G33" s="16">
        <f>MIN(Assumptions!D71,Assumptions!D69+(G15/400)*Assumptions!D70)</f>
        <v>1609.8689593989561</v>
      </c>
      <c r="H33" s="16">
        <f>MIN(Assumptions!D71,Assumptions!D69+(H15/400)*Assumptions!D70)</f>
        <v>1960.0145534394921</v>
      </c>
      <c r="I33" s="16">
        <f>MIN(Assumptions!D71,Assumptions!D69+(I15/400)*Assumptions!D70)</f>
        <v>2299.27369160939</v>
      </c>
      <c r="J33" s="16">
        <f>MIN(Assumptions!D71,Assumptions!D69+(J15/400)*Assumptions!D70)</f>
        <v>2630.5583230000493</v>
      </c>
      <c r="K33" s="16">
        <f>MIN(Assumptions!D71,Assumptions!D69+(K15/400)*Assumptions!D70)</f>
        <v>2956.902574846335</v>
      </c>
      <c r="L33" s="16">
        <f>MIN(Assumptions!D71,Assumptions!D69+(L15/400)*Assumptions!D70)</f>
        <v>3281.5279694750061</v>
      </c>
      <c r="M33" s="16">
        <f>MIN(Assumptions!D71,Assumptions!D69+(M15/400)*Assumptions!D70)</f>
        <v>3607.9170166846379</v>
      </c>
      <c r="N33" s="16">
        <f>MIN(Assumptions!D71,Assumptions!D69+(N15/400)*Assumptions!D70)</f>
        <v>4270.2770780293858</v>
      </c>
      <c r="O33" s="16">
        <f>MIN(Assumptions!D71,Assumptions!D69+(O15/400)*Assumptions!D70)</f>
        <v>4923.9658637663406</v>
      </c>
      <c r="P33" s="16">
        <f>MIN(Assumptions!D71,Assumptions!D69+(P15/400)*Assumptions!D70)</f>
        <v>5575.5014551843342</v>
      </c>
      <c r="Q33" s="16">
        <f>MIN(Assumptions!D71,Assumptions!D69+(Q15/400)*Assumptions!D70)</f>
        <v>6231.978885571204</v>
      </c>
      <c r="R33" s="16">
        <f>MIN(Assumptions!D71,Assumptions!D69+(R15/400)*Assumptions!D70)</f>
        <v>6901.2422802020192</v>
      </c>
      <c r="S33" s="16">
        <f>MIN(Assumptions!D71,Assumptions!D69+(S15/400)*Assumptions!D70)</f>
        <v>7592.0841898316539</v>
      </c>
      <c r="T33" s="16">
        <f>MIN(Assumptions!D71,Assumptions!D69+(T15/400)*Assumptions!D70)</f>
        <v>8314.4779419767838</v>
      </c>
      <c r="U33" s="16">
        <f>MIN(Assumptions!D71,Assumptions!D69+(U15/400)*Assumptions!D70)</f>
        <v>9079.8498926622851</v>
      </c>
      <c r="V33" s="16">
        <f>MIN(Assumptions!D71,Assumptions!D69+(V15/400)*Assumptions!D70)</f>
        <v>9901.3997299489947</v>
      </c>
      <c r="W33" s="16">
        <f>MIN(Assumptions!D71,Assumptions!D69+(W15/400)*Assumptions!D70)</f>
        <v>10794.478499174325</v>
      </c>
      <c r="X33" s="16">
        <f>MIN(Assumptions!D71,Assumptions!D69+(X15/400)*Assumptions!D70)</f>
        <v>11777.035835872473</v>
      </c>
      <c r="Y33" s="16">
        <f>MIN(Assumptions!D71,Assumptions!D69+(Y15/400)*Assumptions!D70)</f>
        <v>12865.653893931105</v>
      </c>
      <c r="Z33" s="16">
        <f>MIN(Assumptions!D71,Assumptions!D69+(Z15/400)*Assumptions!D70)</f>
        <v>14176.090176588687</v>
      </c>
      <c r="AA33" s="16">
        <f>MIN(Assumptions!D71,Assumptions!D69+(AA15/400)*Assumptions!D70)</f>
        <v>15658.043403051468</v>
      </c>
      <c r="AB33" s="16">
        <f>MIN(Assumptions!D71,Assumptions!D69+(AB15/400)*Assumptions!D70)</f>
        <v>17346.543991065057</v>
      </c>
      <c r="AC33" s="16">
        <f>MIN(Assumptions!D71,Assumptions!D69+(AC15/400)*Assumptions!D70)</f>
        <v>18000</v>
      </c>
      <c r="AD33" s="16">
        <f>MIN(Assumptions!D71,Assumptions!D69+(AD15/400)*Assumptions!D70)</f>
        <v>18000</v>
      </c>
      <c r="AE33" s="16">
        <f>MIN(Assumptions!D71,Assumptions!D69+(AE15/400)*Assumptions!D70)</f>
        <v>18000</v>
      </c>
      <c r="AF33" s="16">
        <f>MIN(Assumptions!D71,Assumptions!D69+(AF15/400)*Assumptions!D70)</f>
        <v>18000</v>
      </c>
      <c r="AG33" s="16">
        <f>MIN(Assumptions!D71,Assumptions!D69+(AG15/400)*Assumptions!D70)</f>
        <v>18000</v>
      </c>
      <c r="AH33" s="16">
        <f>MIN(Assumptions!D71,Assumptions!D69+(AH15/400)*Assumptions!D70)</f>
        <v>18000</v>
      </c>
      <c r="AI33" s="16">
        <f>MIN(Assumptions!D71,Assumptions!D69+(AI15/400)*Assumptions!D70)</f>
        <v>18000</v>
      </c>
      <c r="AJ33" s="16">
        <f>MIN(Assumptions!D71,Assumptions!D69+(AJ15/400)*Assumptions!D70)</f>
        <v>18000</v>
      </c>
      <c r="AK33" s="16">
        <f>MIN(Assumptions!D71,Assumptions!D69+(AK15/400)*Assumptions!D70)</f>
        <v>18000</v>
      </c>
      <c r="AL33" s="16">
        <f t="shared" si="9"/>
        <v>21376.496508481967</v>
      </c>
      <c r="AM33" s="16">
        <f t="shared" si="10"/>
        <v>98227.945546150906</v>
      </c>
      <c r="AN33" s="16">
        <f t="shared" si="11"/>
        <v>209180.67757070521</v>
      </c>
    </row>
    <row r="34" spans="1:41" ht="15" customHeight="1" x14ac:dyDescent="0.2">
      <c r="A34" s="3" t="s">
        <v>84</v>
      </c>
      <c r="B34" s="16">
        <f>Assumptions!D54</f>
        <v>900</v>
      </c>
      <c r="C34" s="16">
        <f>Assumptions!D54</f>
        <v>900</v>
      </c>
      <c r="D34" s="16">
        <f>Assumptions!D54</f>
        <v>900</v>
      </c>
      <c r="E34" s="16">
        <f>Assumptions!D54</f>
        <v>900</v>
      </c>
      <c r="F34" s="16">
        <f>Assumptions!D54</f>
        <v>900</v>
      </c>
      <c r="G34" s="16">
        <f>Assumptions!D54</f>
        <v>900</v>
      </c>
      <c r="H34" s="16">
        <f>Assumptions!D54</f>
        <v>900</v>
      </c>
      <c r="I34" s="16">
        <f>Assumptions!D54</f>
        <v>900</v>
      </c>
      <c r="J34" s="16">
        <f>Assumptions!D54</f>
        <v>900</v>
      </c>
      <c r="K34" s="16">
        <f>Assumptions!D54</f>
        <v>900</v>
      </c>
      <c r="L34" s="16">
        <f>Assumptions!D54</f>
        <v>900</v>
      </c>
      <c r="M34" s="16">
        <f>Assumptions!D54</f>
        <v>900</v>
      </c>
      <c r="N34" s="16">
        <f>Assumptions!D55</f>
        <v>9000</v>
      </c>
      <c r="O34" s="16">
        <f>Assumptions!D55</f>
        <v>9000</v>
      </c>
      <c r="P34" s="16">
        <f>Assumptions!D55</f>
        <v>9000</v>
      </c>
      <c r="Q34" s="16">
        <f>Assumptions!D55</f>
        <v>9000</v>
      </c>
      <c r="R34" s="16">
        <f>Assumptions!D55</f>
        <v>9000</v>
      </c>
      <c r="S34" s="16">
        <f>Assumptions!D55</f>
        <v>9000</v>
      </c>
      <c r="T34" s="16">
        <f>Assumptions!D55</f>
        <v>9000</v>
      </c>
      <c r="U34" s="16">
        <f>Assumptions!D55</f>
        <v>9000</v>
      </c>
      <c r="V34" s="16">
        <f>Assumptions!D55</f>
        <v>9000</v>
      </c>
      <c r="W34" s="16">
        <f>Assumptions!D55</f>
        <v>9000</v>
      </c>
      <c r="X34" s="16">
        <f>Assumptions!D55</f>
        <v>9000</v>
      </c>
      <c r="Y34" s="16">
        <f>Assumptions!D55</f>
        <v>9000</v>
      </c>
      <c r="Z34" s="16">
        <f>Assumptions!D76</f>
        <v>12000</v>
      </c>
      <c r="AA34" s="16">
        <f>Assumptions!D76</f>
        <v>12000</v>
      </c>
      <c r="AB34" s="16">
        <f>Assumptions!D76</f>
        <v>12000</v>
      </c>
      <c r="AC34" s="16">
        <f>Assumptions!D76</f>
        <v>12000</v>
      </c>
      <c r="AD34" s="16">
        <f>Assumptions!D76</f>
        <v>12000</v>
      </c>
      <c r="AE34" s="16">
        <f>Assumptions!D76</f>
        <v>12000</v>
      </c>
      <c r="AF34" s="16">
        <f>Assumptions!D76</f>
        <v>12000</v>
      </c>
      <c r="AG34" s="16">
        <f>Assumptions!D76</f>
        <v>12000</v>
      </c>
      <c r="AH34" s="16">
        <f>Assumptions!D76</f>
        <v>12000</v>
      </c>
      <c r="AI34" s="16">
        <f>Assumptions!D76</f>
        <v>12000</v>
      </c>
      <c r="AJ34" s="16">
        <f>Assumptions!D76</f>
        <v>12000</v>
      </c>
      <c r="AK34" s="16">
        <f>Assumptions!D76</f>
        <v>12000</v>
      </c>
      <c r="AL34" s="16">
        <f t="shared" si="9"/>
        <v>10800</v>
      </c>
      <c r="AM34" s="16">
        <f t="shared" si="10"/>
        <v>108000</v>
      </c>
      <c r="AN34" s="16">
        <f t="shared" si="11"/>
        <v>144000</v>
      </c>
    </row>
    <row r="35" spans="1:41" ht="15" customHeight="1" x14ac:dyDescent="0.2">
      <c r="A35" s="3" t="s">
        <v>85</v>
      </c>
      <c r="B35" s="16">
        <f>0</f>
        <v>0</v>
      </c>
      <c r="C35" s="16">
        <f>0</f>
        <v>0</v>
      </c>
      <c r="D35" s="16">
        <f>Assumptions!D56</f>
        <v>6000</v>
      </c>
      <c r="E35" s="16">
        <f>Assumptions!D56</f>
        <v>6000</v>
      </c>
      <c r="F35" s="16">
        <f>Assumptions!D56</f>
        <v>6000</v>
      </c>
      <c r="G35" s="16">
        <f>Assumptions!D56</f>
        <v>6000</v>
      </c>
      <c r="H35" s="16">
        <f>Assumptions!D57</f>
        <v>11000</v>
      </c>
      <c r="I35" s="16">
        <f>Assumptions!D57</f>
        <v>11000</v>
      </c>
      <c r="J35" s="16">
        <f>Assumptions!D57</f>
        <v>11000</v>
      </c>
      <c r="K35" s="16">
        <f>Assumptions!D57</f>
        <v>11000</v>
      </c>
      <c r="L35" s="16">
        <f>Assumptions!D57</f>
        <v>11000</v>
      </c>
      <c r="M35" s="16">
        <f>Assumptions!D57</f>
        <v>11000</v>
      </c>
      <c r="N35" s="16">
        <f>Assumptions!D58</f>
        <v>38000</v>
      </c>
      <c r="O35" s="16">
        <f>Assumptions!D58</f>
        <v>38000</v>
      </c>
      <c r="P35" s="16">
        <f>Assumptions!D58</f>
        <v>38000</v>
      </c>
      <c r="Q35" s="16">
        <f>Assumptions!D58</f>
        <v>38000</v>
      </c>
      <c r="R35" s="16">
        <f>Assumptions!D58</f>
        <v>38000</v>
      </c>
      <c r="S35" s="16">
        <f>Assumptions!D58</f>
        <v>38000</v>
      </c>
      <c r="T35" s="16">
        <f>Assumptions!D58</f>
        <v>38000</v>
      </c>
      <c r="U35" s="16">
        <f>Assumptions!D58</f>
        <v>38000</v>
      </c>
      <c r="V35" s="16">
        <f>Assumptions!D58</f>
        <v>38000</v>
      </c>
      <c r="W35" s="16">
        <f>Assumptions!D58</f>
        <v>38000</v>
      </c>
      <c r="X35" s="16">
        <f>Assumptions!D58</f>
        <v>38000</v>
      </c>
      <c r="Y35" s="16">
        <f>Assumptions!D58</f>
        <v>38000</v>
      </c>
      <c r="Z35" s="16">
        <f>Assumptions!D59</f>
        <v>85000</v>
      </c>
      <c r="AA35" s="16">
        <f>Assumptions!D59</f>
        <v>85000</v>
      </c>
      <c r="AB35" s="16">
        <f>Assumptions!D59</f>
        <v>85000</v>
      </c>
      <c r="AC35" s="16">
        <f>Assumptions!D59</f>
        <v>85000</v>
      </c>
      <c r="AD35" s="16">
        <f>Assumptions!D59</f>
        <v>85000</v>
      </c>
      <c r="AE35" s="16">
        <f>Assumptions!D59</f>
        <v>85000</v>
      </c>
      <c r="AF35" s="16">
        <f>Assumptions!D59</f>
        <v>85000</v>
      </c>
      <c r="AG35" s="16">
        <f>Assumptions!D59</f>
        <v>85000</v>
      </c>
      <c r="AH35" s="16">
        <f>Assumptions!D59</f>
        <v>85000</v>
      </c>
      <c r="AI35" s="16">
        <f>Assumptions!D59</f>
        <v>85000</v>
      </c>
      <c r="AJ35" s="16">
        <f>Assumptions!D59</f>
        <v>85000</v>
      </c>
      <c r="AK35" s="16">
        <f>Assumptions!D59</f>
        <v>85000</v>
      </c>
      <c r="AL35" s="16">
        <f t="shared" si="9"/>
        <v>90000</v>
      </c>
      <c r="AM35" s="16">
        <f t="shared" si="10"/>
        <v>456000</v>
      </c>
      <c r="AN35" s="16">
        <f t="shared" si="11"/>
        <v>1020000</v>
      </c>
    </row>
    <row r="36" spans="1:41" ht="15" customHeight="1" x14ac:dyDescent="0.2">
      <c r="A36" s="3" t="s">
        <v>86</v>
      </c>
      <c r="B36" s="16">
        <f>Assumptions!D60</f>
        <v>1500</v>
      </c>
      <c r="C36" s="16">
        <f>Assumptions!D60</f>
        <v>1500</v>
      </c>
      <c r="D36" s="16">
        <f>Assumptions!D60</f>
        <v>1500</v>
      </c>
      <c r="E36" s="16">
        <f>Assumptions!D60+Assumptions!D12</f>
        <v>12500</v>
      </c>
      <c r="F36" s="16">
        <f>Assumptions!D60+Assumptions!D12</f>
        <v>12500</v>
      </c>
      <c r="G36" s="16">
        <f>Assumptions!D60+Assumptions!D12</f>
        <v>12500</v>
      </c>
      <c r="H36" s="16">
        <f>Assumptions!D60+Assumptions!D12</f>
        <v>12500</v>
      </c>
      <c r="I36" s="16">
        <f>Assumptions!D60+Assumptions!D12</f>
        <v>12500</v>
      </c>
      <c r="J36" s="16">
        <f>Assumptions!D60+Assumptions!D12</f>
        <v>12500</v>
      </c>
      <c r="K36" s="16">
        <f>Assumptions!D60+Assumptions!D12</f>
        <v>12500</v>
      </c>
      <c r="L36" s="16">
        <f>Assumptions!D60+Assumptions!D12</f>
        <v>12500</v>
      </c>
      <c r="M36" s="16">
        <f>Assumptions!D60+Assumptions!D12</f>
        <v>12500</v>
      </c>
      <c r="N36" s="16">
        <f>Assumptions!D61+Assumptions!D13</f>
        <v>30500</v>
      </c>
      <c r="O36" s="16">
        <f>Assumptions!D61+Assumptions!D13</f>
        <v>30500</v>
      </c>
      <c r="P36" s="16">
        <f>Assumptions!D61+Assumptions!D13</f>
        <v>30500</v>
      </c>
      <c r="Q36" s="16">
        <f>Assumptions!D61+Assumptions!D13</f>
        <v>30500</v>
      </c>
      <c r="R36" s="16">
        <f>Assumptions!D61+Assumptions!D13</f>
        <v>30500</v>
      </c>
      <c r="S36" s="16">
        <f>Assumptions!D61+Assumptions!D13</f>
        <v>30500</v>
      </c>
      <c r="T36" s="16">
        <f>Assumptions!D61+Assumptions!D13</f>
        <v>30500</v>
      </c>
      <c r="U36" s="16">
        <f>Assumptions!D61+Assumptions!D13</f>
        <v>30500</v>
      </c>
      <c r="V36" s="16">
        <f>Assumptions!D61+Assumptions!D13</f>
        <v>30500</v>
      </c>
      <c r="W36" s="16">
        <f>Assumptions!D61+Assumptions!D13</f>
        <v>30500</v>
      </c>
      <c r="X36" s="16">
        <f>Assumptions!D61+Assumptions!D13</f>
        <v>30500</v>
      </c>
      <c r="Y36" s="16">
        <f>Assumptions!D61+Assumptions!D13</f>
        <v>30500</v>
      </c>
      <c r="Z36" s="16">
        <f>Assumptions!D62+Assumptions!D14</f>
        <v>24500</v>
      </c>
      <c r="AA36" s="16">
        <f>Assumptions!D62+Assumptions!D14</f>
        <v>24500</v>
      </c>
      <c r="AB36" s="16">
        <f>Assumptions!D62+Assumptions!D14</f>
        <v>24500</v>
      </c>
      <c r="AC36" s="16">
        <f>Assumptions!D62+Assumptions!D14</f>
        <v>24500</v>
      </c>
      <c r="AD36" s="16">
        <f>Assumptions!D62+Assumptions!D14</f>
        <v>24500</v>
      </c>
      <c r="AE36" s="16">
        <f>Assumptions!D62+Assumptions!D14</f>
        <v>24500</v>
      </c>
      <c r="AF36" s="16">
        <f>Assumptions!D62+Assumptions!D14</f>
        <v>24500</v>
      </c>
      <c r="AG36" s="16">
        <f>Assumptions!D62+Assumptions!D14</f>
        <v>24500</v>
      </c>
      <c r="AH36" s="16">
        <f>Assumptions!D62+Assumptions!D14</f>
        <v>24500</v>
      </c>
      <c r="AI36" s="16">
        <f>Assumptions!D62+Assumptions!D14</f>
        <v>24500</v>
      </c>
      <c r="AJ36" s="16">
        <f>Assumptions!D62+Assumptions!D14</f>
        <v>24500</v>
      </c>
      <c r="AK36" s="16">
        <f>Assumptions!D62+Assumptions!D14</f>
        <v>24500</v>
      </c>
      <c r="AL36" s="16">
        <f t="shared" si="9"/>
        <v>117000</v>
      </c>
      <c r="AM36" s="16">
        <f t="shared" si="10"/>
        <v>366000</v>
      </c>
      <c r="AN36" s="16">
        <f t="shared" si="11"/>
        <v>294000</v>
      </c>
    </row>
    <row r="37" spans="1:41" ht="15" customHeight="1" x14ac:dyDescent="0.2">
      <c r="A37" s="3" t="s">
        <v>87</v>
      </c>
      <c r="B37" s="16">
        <f>0</f>
        <v>0</v>
      </c>
      <c r="C37" s="16">
        <f>0</f>
        <v>0</v>
      </c>
      <c r="D37" s="16">
        <f>Assumptions!D63</f>
        <v>900</v>
      </c>
      <c r="E37" s="16">
        <f>Assumptions!D63</f>
        <v>900</v>
      </c>
      <c r="F37" s="16">
        <f>Assumptions!D63</f>
        <v>900</v>
      </c>
      <c r="G37" s="16">
        <f>Assumptions!D63</f>
        <v>900</v>
      </c>
      <c r="H37" s="16">
        <f>Assumptions!D63</f>
        <v>900</v>
      </c>
      <c r="I37" s="16">
        <f>Assumptions!D63</f>
        <v>900</v>
      </c>
      <c r="J37" s="16">
        <f>Assumptions!D63</f>
        <v>900</v>
      </c>
      <c r="K37" s="16">
        <f>Assumptions!D63</f>
        <v>900</v>
      </c>
      <c r="L37" s="16">
        <f>Assumptions!D63</f>
        <v>900</v>
      </c>
      <c r="M37" s="16">
        <f>Assumptions!D63</f>
        <v>900</v>
      </c>
      <c r="N37" s="16">
        <f>Assumptions!D64</f>
        <v>1500</v>
      </c>
      <c r="O37" s="16">
        <f>Assumptions!D64</f>
        <v>1500</v>
      </c>
      <c r="P37" s="16">
        <f>Assumptions!D64</f>
        <v>1500</v>
      </c>
      <c r="Q37" s="16">
        <f>Assumptions!D64</f>
        <v>1500</v>
      </c>
      <c r="R37" s="16">
        <f>Assumptions!D64</f>
        <v>1500</v>
      </c>
      <c r="S37" s="16">
        <f>Assumptions!D64</f>
        <v>1500</v>
      </c>
      <c r="T37" s="16">
        <f>Assumptions!D64</f>
        <v>1500</v>
      </c>
      <c r="U37" s="16">
        <f>Assumptions!D64</f>
        <v>1500</v>
      </c>
      <c r="V37" s="16">
        <f>Assumptions!D64</f>
        <v>1500</v>
      </c>
      <c r="W37" s="16">
        <f>Assumptions!D64</f>
        <v>1500</v>
      </c>
      <c r="X37" s="16">
        <f>Assumptions!D64</f>
        <v>1500</v>
      </c>
      <c r="Y37" s="16">
        <f>Assumptions!D64</f>
        <v>1500</v>
      </c>
      <c r="Z37" s="16">
        <f>Assumptions!D65</f>
        <v>2200</v>
      </c>
      <c r="AA37" s="16">
        <f>Assumptions!D65</f>
        <v>2200</v>
      </c>
      <c r="AB37" s="16">
        <f>Assumptions!D65</f>
        <v>2200</v>
      </c>
      <c r="AC37" s="16">
        <f>Assumptions!D65</f>
        <v>2200</v>
      </c>
      <c r="AD37" s="16">
        <f>Assumptions!D65</f>
        <v>2200</v>
      </c>
      <c r="AE37" s="16">
        <f>Assumptions!D65</f>
        <v>2200</v>
      </c>
      <c r="AF37" s="16">
        <f>Assumptions!D65</f>
        <v>2200</v>
      </c>
      <c r="AG37" s="16">
        <f>Assumptions!D65</f>
        <v>2200</v>
      </c>
      <c r="AH37" s="16">
        <f>Assumptions!D65</f>
        <v>2200</v>
      </c>
      <c r="AI37" s="16">
        <f>Assumptions!D65</f>
        <v>2200</v>
      </c>
      <c r="AJ37" s="16">
        <f>Assumptions!D65</f>
        <v>2200</v>
      </c>
      <c r="AK37" s="16">
        <f>Assumptions!D65</f>
        <v>2200</v>
      </c>
      <c r="AL37" s="16">
        <f t="shared" si="9"/>
        <v>9000</v>
      </c>
      <c r="AM37" s="16">
        <f t="shared" si="10"/>
        <v>18000</v>
      </c>
      <c r="AN37" s="16">
        <f t="shared" si="11"/>
        <v>26400</v>
      </c>
    </row>
    <row r="38" spans="1:41" ht="15" customHeight="1" x14ac:dyDescent="0.2">
      <c r="A38" s="3" t="s">
        <v>88</v>
      </c>
      <c r="B38" s="16">
        <f>Assumptions!D66</f>
        <v>800</v>
      </c>
      <c r="C38" s="16">
        <f>Assumptions!D66</f>
        <v>800</v>
      </c>
      <c r="D38" s="16">
        <f>Assumptions!D66</f>
        <v>800</v>
      </c>
      <c r="E38" s="16">
        <f>Assumptions!D67</f>
        <v>350</v>
      </c>
      <c r="F38" s="16">
        <f>Assumptions!D67</f>
        <v>350</v>
      </c>
      <c r="G38" s="16">
        <f>Assumptions!D67</f>
        <v>350</v>
      </c>
      <c r="H38" s="16">
        <f>Assumptions!D67</f>
        <v>350</v>
      </c>
      <c r="I38" s="16">
        <f>Assumptions!D67</f>
        <v>350</v>
      </c>
      <c r="J38" s="16">
        <f>Assumptions!D67</f>
        <v>350</v>
      </c>
      <c r="K38" s="16">
        <f>Assumptions!D67</f>
        <v>350</v>
      </c>
      <c r="L38" s="16">
        <f>Assumptions!D67</f>
        <v>350</v>
      </c>
      <c r="M38" s="16">
        <f>Assumptions!D67</f>
        <v>350</v>
      </c>
      <c r="N38" s="16">
        <f>Assumptions!D67</f>
        <v>350</v>
      </c>
      <c r="O38" s="16">
        <f>Assumptions!D67</f>
        <v>350</v>
      </c>
      <c r="P38" s="16">
        <f>Assumptions!D67</f>
        <v>350</v>
      </c>
      <c r="Q38" s="16">
        <f>Assumptions!D67</f>
        <v>350</v>
      </c>
      <c r="R38" s="16">
        <f>Assumptions!D67</f>
        <v>350</v>
      </c>
      <c r="S38" s="16">
        <f>Assumptions!D67</f>
        <v>350</v>
      </c>
      <c r="T38" s="16">
        <f>Assumptions!D67</f>
        <v>350</v>
      </c>
      <c r="U38" s="16">
        <f>Assumptions!D67</f>
        <v>350</v>
      </c>
      <c r="V38" s="16">
        <f>Assumptions!D67</f>
        <v>350</v>
      </c>
      <c r="W38" s="16">
        <f>Assumptions!D67</f>
        <v>350</v>
      </c>
      <c r="X38" s="16">
        <f>Assumptions!D67</f>
        <v>350</v>
      </c>
      <c r="Y38" s="16">
        <f>Assumptions!D67</f>
        <v>350</v>
      </c>
      <c r="Z38" s="16">
        <f>Assumptions!D67</f>
        <v>350</v>
      </c>
      <c r="AA38" s="16">
        <f>Assumptions!D67</f>
        <v>350</v>
      </c>
      <c r="AB38" s="16">
        <f>Assumptions!D67</f>
        <v>350</v>
      </c>
      <c r="AC38" s="16">
        <f>Assumptions!D67</f>
        <v>350</v>
      </c>
      <c r="AD38" s="16">
        <f>Assumptions!D67</f>
        <v>350</v>
      </c>
      <c r="AE38" s="16">
        <f>Assumptions!D67</f>
        <v>350</v>
      </c>
      <c r="AF38" s="16">
        <f>Assumptions!D67</f>
        <v>350</v>
      </c>
      <c r="AG38" s="16">
        <f>Assumptions!D67</f>
        <v>350</v>
      </c>
      <c r="AH38" s="16">
        <f>Assumptions!D67</f>
        <v>350</v>
      </c>
      <c r="AI38" s="16">
        <f>Assumptions!D67</f>
        <v>350</v>
      </c>
      <c r="AJ38" s="16">
        <f>Assumptions!D67</f>
        <v>350</v>
      </c>
      <c r="AK38" s="16">
        <f>Assumptions!D67</f>
        <v>350</v>
      </c>
      <c r="AL38" s="16">
        <f t="shared" si="9"/>
        <v>5550</v>
      </c>
      <c r="AM38" s="16">
        <f t="shared" si="10"/>
        <v>4200</v>
      </c>
      <c r="AN38" s="16">
        <f t="shared" si="11"/>
        <v>4200</v>
      </c>
    </row>
    <row r="39" spans="1:41" ht="15" customHeight="1" x14ac:dyDescent="0.2">
      <c r="A39" s="3" t="s">
        <v>89</v>
      </c>
      <c r="B39" s="16">
        <f>0</f>
        <v>0</v>
      </c>
      <c r="C39" s="16">
        <f>0</f>
        <v>0</v>
      </c>
      <c r="D39" s="16">
        <f>0</f>
        <v>0</v>
      </c>
      <c r="E39" s="16">
        <f>Assumptions!D50/3</f>
        <v>2666.6666666666665</v>
      </c>
      <c r="F39" s="16">
        <f>Assumptions!D50/3</f>
        <v>2666.6666666666665</v>
      </c>
      <c r="G39" s="16">
        <f>Assumptions!D50/3</f>
        <v>2666.6666666666665</v>
      </c>
      <c r="H39" s="16">
        <f>0</f>
        <v>0</v>
      </c>
      <c r="I39" s="16">
        <f>0</f>
        <v>0</v>
      </c>
      <c r="J39" s="16">
        <f>0</f>
        <v>0</v>
      </c>
      <c r="K39" s="16">
        <f>0</f>
        <v>0</v>
      </c>
      <c r="L39" s="16">
        <f>0</f>
        <v>0</v>
      </c>
      <c r="M39" s="16">
        <f>0</f>
        <v>0</v>
      </c>
      <c r="N39" s="16">
        <f>0</f>
        <v>0</v>
      </c>
      <c r="O39" s="16">
        <f>0</f>
        <v>0</v>
      </c>
      <c r="P39" s="16">
        <f>0</f>
        <v>0</v>
      </c>
      <c r="Q39" s="16">
        <f>0</f>
        <v>0</v>
      </c>
      <c r="R39" s="16">
        <f>0</f>
        <v>0</v>
      </c>
      <c r="S39" s="16">
        <f>0</f>
        <v>0</v>
      </c>
      <c r="T39" s="16">
        <f>0</f>
        <v>0</v>
      </c>
      <c r="U39" s="16">
        <f>0</f>
        <v>0</v>
      </c>
      <c r="V39" s="16">
        <f>0</f>
        <v>0</v>
      </c>
      <c r="W39" s="16">
        <f>0</f>
        <v>0</v>
      </c>
      <c r="X39" s="16">
        <f>0</f>
        <v>0</v>
      </c>
      <c r="Y39" s="16">
        <f>0</f>
        <v>0</v>
      </c>
      <c r="Z39" s="16">
        <f>0</f>
        <v>0</v>
      </c>
      <c r="AA39" s="16">
        <f>0</f>
        <v>0</v>
      </c>
      <c r="AB39" s="16">
        <f>0</f>
        <v>0</v>
      </c>
      <c r="AC39" s="16">
        <f>0</f>
        <v>0</v>
      </c>
      <c r="AD39" s="16">
        <f>0</f>
        <v>0</v>
      </c>
      <c r="AE39" s="16">
        <f>0</f>
        <v>0</v>
      </c>
      <c r="AF39" s="16">
        <f>0</f>
        <v>0</v>
      </c>
      <c r="AG39" s="16">
        <f>0</f>
        <v>0</v>
      </c>
      <c r="AH39" s="16">
        <f>0</f>
        <v>0</v>
      </c>
      <c r="AI39" s="16">
        <f>0</f>
        <v>0</v>
      </c>
      <c r="AJ39" s="16">
        <f>0</f>
        <v>0</v>
      </c>
      <c r="AK39" s="16">
        <f>0</f>
        <v>0</v>
      </c>
      <c r="AL39" s="16">
        <f t="shared" si="9"/>
        <v>8000</v>
      </c>
      <c r="AM39" s="16">
        <f t="shared" si="10"/>
        <v>0</v>
      </c>
      <c r="AN39" s="16">
        <f t="shared" si="11"/>
        <v>0</v>
      </c>
    </row>
    <row r="40" spans="1:41" ht="15" customHeight="1" x14ac:dyDescent="0.2">
      <c r="A40" s="3" t="s">
        <v>90</v>
      </c>
      <c r="B40" s="16">
        <f>0</f>
        <v>0</v>
      </c>
      <c r="C40" s="16">
        <f>0</f>
        <v>0</v>
      </c>
      <c r="D40" s="16">
        <f>0</f>
        <v>0</v>
      </c>
      <c r="E40" s="16">
        <f>0</f>
        <v>0</v>
      </c>
      <c r="F40" s="16">
        <f>0</f>
        <v>0</v>
      </c>
      <c r="G40" s="16">
        <f>0</f>
        <v>0</v>
      </c>
      <c r="H40" s="16">
        <f>0</f>
        <v>0</v>
      </c>
      <c r="I40" s="16">
        <f>0</f>
        <v>0</v>
      </c>
      <c r="J40" s="16">
        <f>0</f>
        <v>0</v>
      </c>
      <c r="K40" s="16">
        <f>0</f>
        <v>0</v>
      </c>
      <c r="L40" s="16">
        <f>0</f>
        <v>0</v>
      </c>
      <c r="M40" s="16">
        <f>0</f>
        <v>0</v>
      </c>
      <c r="N40" s="16">
        <f>0</f>
        <v>0</v>
      </c>
      <c r="O40" s="16">
        <f>0</f>
        <v>0</v>
      </c>
      <c r="P40" s="16">
        <f>Assumptions!D51</f>
        <v>5000</v>
      </c>
      <c r="Q40" s="16">
        <f>0</f>
        <v>0</v>
      </c>
      <c r="R40" s="16">
        <f>0</f>
        <v>0</v>
      </c>
      <c r="S40" s="16">
        <f>0</f>
        <v>0</v>
      </c>
      <c r="T40" s="16">
        <f>0</f>
        <v>0</v>
      </c>
      <c r="U40" s="16">
        <f>0</f>
        <v>0</v>
      </c>
      <c r="V40" s="16">
        <f>0</f>
        <v>0</v>
      </c>
      <c r="W40" s="16">
        <f>0</f>
        <v>0</v>
      </c>
      <c r="X40" s="16">
        <f>0</f>
        <v>0</v>
      </c>
      <c r="Y40" s="16">
        <f>0</f>
        <v>0</v>
      </c>
      <c r="Z40" s="16">
        <f>0</f>
        <v>0</v>
      </c>
      <c r="AA40" s="16">
        <f>0</f>
        <v>0</v>
      </c>
      <c r="AB40" s="16">
        <f>0</f>
        <v>0</v>
      </c>
      <c r="AC40" s="16">
        <f>0</f>
        <v>0</v>
      </c>
      <c r="AD40" s="16">
        <f>0</f>
        <v>0</v>
      </c>
      <c r="AE40" s="16">
        <f>0</f>
        <v>0</v>
      </c>
      <c r="AF40" s="16">
        <f>0</f>
        <v>0</v>
      </c>
      <c r="AG40" s="16">
        <f>0</f>
        <v>0</v>
      </c>
      <c r="AH40" s="16">
        <f>0</f>
        <v>0</v>
      </c>
      <c r="AI40" s="16">
        <f>0</f>
        <v>0</v>
      </c>
      <c r="AJ40" s="16">
        <f>0</f>
        <v>0</v>
      </c>
      <c r="AK40" s="16">
        <f>0</f>
        <v>0</v>
      </c>
      <c r="AL40" s="16">
        <f t="shared" si="9"/>
        <v>0</v>
      </c>
      <c r="AM40" s="16">
        <f t="shared" si="10"/>
        <v>5000</v>
      </c>
      <c r="AN40" s="16">
        <f t="shared" si="11"/>
        <v>0</v>
      </c>
    </row>
    <row r="41" spans="1:41" ht="15" customHeight="1" x14ac:dyDescent="0.2">
      <c r="A41" s="3" t="s">
        <v>91</v>
      </c>
      <c r="B41" s="16">
        <f>0</f>
        <v>0</v>
      </c>
      <c r="C41" s="16">
        <f>0</f>
        <v>0</v>
      </c>
      <c r="D41" s="16">
        <f>0</f>
        <v>0</v>
      </c>
      <c r="E41" s="16">
        <f>0</f>
        <v>0</v>
      </c>
      <c r="F41" s="16">
        <f>0</f>
        <v>0</v>
      </c>
      <c r="G41" s="16">
        <f>0</f>
        <v>0</v>
      </c>
      <c r="H41" s="16">
        <f>0</f>
        <v>0</v>
      </c>
      <c r="I41" s="16">
        <f>0</f>
        <v>0</v>
      </c>
      <c r="J41" s="16">
        <f>0</f>
        <v>0</v>
      </c>
      <c r="K41" s="16">
        <f>0</f>
        <v>0</v>
      </c>
      <c r="L41" s="16">
        <f>0</f>
        <v>0</v>
      </c>
      <c r="M41" s="16">
        <f>0</f>
        <v>0</v>
      </c>
      <c r="N41" s="16">
        <f>0</f>
        <v>0</v>
      </c>
      <c r="O41" s="16">
        <f>0</f>
        <v>0</v>
      </c>
      <c r="P41" s="16">
        <f>0</f>
        <v>0</v>
      </c>
      <c r="Q41" s="16">
        <f>0</f>
        <v>0</v>
      </c>
      <c r="R41" s="16">
        <f>0</f>
        <v>0</v>
      </c>
      <c r="S41" s="16">
        <f>0</f>
        <v>0</v>
      </c>
      <c r="T41" s="16">
        <f>0</f>
        <v>0</v>
      </c>
      <c r="U41" s="16">
        <f>Assumptions!D52</f>
        <v>3000</v>
      </c>
      <c r="V41" s="16">
        <f>Assumptions!D52</f>
        <v>3000</v>
      </c>
      <c r="W41" s="16">
        <f>Assumptions!D52</f>
        <v>3000</v>
      </c>
      <c r="X41" s="16">
        <f>Assumptions!D52</f>
        <v>3000</v>
      </c>
      <c r="Y41" s="16">
        <f>0</f>
        <v>0</v>
      </c>
      <c r="Z41" s="16">
        <f>0</f>
        <v>0</v>
      </c>
      <c r="AA41" s="16">
        <f>0</f>
        <v>0</v>
      </c>
      <c r="AB41" s="16">
        <f>0</f>
        <v>0</v>
      </c>
      <c r="AC41" s="16">
        <f>0</f>
        <v>0</v>
      </c>
      <c r="AD41" s="16">
        <f>0</f>
        <v>0</v>
      </c>
      <c r="AE41" s="16">
        <f>0</f>
        <v>0</v>
      </c>
      <c r="AF41" s="16">
        <f>0</f>
        <v>0</v>
      </c>
      <c r="AG41" s="16">
        <f>0</f>
        <v>0</v>
      </c>
      <c r="AH41" s="16">
        <f>0</f>
        <v>0</v>
      </c>
      <c r="AI41" s="16">
        <f>0</f>
        <v>0</v>
      </c>
      <c r="AJ41" s="16">
        <f>0</f>
        <v>0</v>
      </c>
      <c r="AK41" s="16">
        <f>0</f>
        <v>0</v>
      </c>
      <c r="AL41" s="16">
        <f t="shared" si="9"/>
        <v>0</v>
      </c>
      <c r="AM41" s="16">
        <f t="shared" si="10"/>
        <v>12000</v>
      </c>
      <c r="AN41" s="16">
        <f t="shared" si="11"/>
        <v>0</v>
      </c>
    </row>
    <row r="42" spans="1:41" ht="15" customHeight="1" x14ac:dyDescent="0.2">
      <c r="A42" s="13" t="s">
        <v>92</v>
      </c>
      <c r="B42" s="18">
        <f t="shared" ref="B42:AK42" si="12">B30+B31+B32+B33+B34+B35+B36+B37+B38+B39+B40+B41</f>
        <v>3316.6765</v>
      </c>
      <c r="C42" s="18">
        <f t="shared" si="12"/>
        <v>3337.0319575000003</v>
      </c>
      <c r="D42" s="18">
        <f t="shared" si="12"/>
        <v>10861.951101725001</v>
      </c>
      <c r="E42" s="18">
        <f t="shared" si="12"/>
        <v>24703.017163876186</v>
      </c>
      <c r="F42" s="18">
        <f t="shared" si="12"/>
        <v>25569.380745915816</v>
      </c>
      <c r="G42" s="18">
        <f t="shared" si="12"/>
        <v>27167.190342439364</v>
      </c>
      <c r="H42" s="18">
        <f t="shared" si="12"/>
        <v>30481.347832354324</v>
      </c>
      <c r="I42" s="18">
        <f t="shared" si="12"/>
        <v>31426.685491477474</v>
      </c>
      <c r="J42" s="18">
        <f t="shared" si="12"/>
        <v>32345.926771610481</v>
      </c>
      <c r="K42" s="18">
        <f t="shared" si="12"/>
        <v>33248.802702660752</v>
      </c>
      <c r="L42" s="18">
        <f t="shared" si="12"/>
        <v>34145.591396480784</v>
      </c>
      <c r="M42" s="18">
        <f t="shared" si="12"/>
        <v>35047.349783115133</v>
      </c>
      <c r="N42" s="18">
        <f t="shared" si="12"/>
        <v>90567.841404748295</v>
      </c>
      <c r="O42" s="18">
        <f t="shared" si="12"/>
        <v>92581.188509814645</v>
      </c>
      <c r="P42" s="18">
        <f t="shared" si="12"/>
        <v>99659.652804940197</v>
      </c>
      <c r="Q42" s="18">
        <f t="shared" si="12"/>
        <v>96763.392993637914</v>
      </c>
      <c r="R42" s="18">
        <f t="shared" si="12"/>
        <v>98916.681129903765</v>
      </c>
      <c r="S42" s="18">
        <f t="shared" si="12"/>
        <v>101146.94769659257</v>
      </c>
      <c r="T42" s="18">
        <f t="shared" si="12"/>
        <v>103485.52209552214</v>
      </c>
      <c r="U42" s="18">
        <f t="shared" si="12"/>
        <v>108968.50266597344</v>
      </c>
      <c r="V42" s="18">
        <f t="shared" si="12"/>
        <v>111637.78244752003</v>
      </c>
      <c r="W42" s="18">
        <f t="shared" si="12"/>
        <v>114542.26180900841</v>
      </c>
      <c r="X42" s="18">
        <f t="shared" si="12"/>
        <v>137635.3181693845</v>
      </c>
      <c r="Y42" s="18">
        <f t="shared" si="12"/>
        <v>140163.43594000477</v>
      </c>
      <c r="Z42" s="18">
        <f t="shared" si="12"/>
        <v>191004.54540806776</v>
      </c>
      <c r="AA42" s="18">
        <f t="shared" si="12"/>
        <v>197942.88135271304</v>
      </c>
      <c r="AB42" s="18">
        <f t="shared" si="12"/>
        <v>205906.8979321646</v>
      </c>
      <c r="AC42" s="18">
        <f t="shared" si="12"/>
        <v>213817.62308401213</v>
      </c>
      <c r="AD42" s="18">
        <f t="shared" si="12"/>
        <v>222249.94861193918</v>
      </c>
      <c r="AE42" s="18">
        <f t="shared" si="12"/>
        <v>232087.15283492411</v>
      </c>
      <c r="AF42" s="18">
        <f t="shared" si="12"/>
        <v>243602.5215330401</v>
      </c>
      <c r="AG42" s="18">
        <f t="shared" si="12"/>
        <v>257121.06766881578</v>
      </c>
      <c r="AH42" s="18">
        <f t="shared" si="12"/>
        <v>273029.36508830404</v>
      </c>
      <c r="AI42" s="18">
        <f t="shared" si="12"/>
        <v>291787.25050809688</v>
      </c>
      <c r="AJ42" s="18">
        <f t="shared" si="12"/>
        <v>313941.74876236246</v>
      </c>
      <c r="AK42" s="18">
        <f t="shared" si="12"/>
        <v>340143.64372931095</v>
      </c>
      <c r="AL42" s="18">
        <f t="shared" si="9"/>
        <v>291650.95178915537</v>
      </c>
      <c r="AM42" s="18">
        <f t="shared" si="10"/>
        <v>1296068.5276670507</v>
      </c>
      <c r="AN42" s="18">
        <f t="shared" si="11"/>
        <v>2982634.6465137512</v>
      </c>
    </row>
    <row r="44" spans="1:41" ht="15" customHeight="1" x14ac:dyDescent="0.2">
      <c r="A44" s="30" t="s">
        <v>93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</row>
    <row r="45" spans="1:41" ht="27.75" customHeight="1" x14ac:dyDescent="0.2">
      <c r="A45" s="3" t="s">
        <v>94</v>
      </c>
      <c r="B45" s="12">
        <f t="shared" ref="B45:AK45" si="13">IF(B24=0,0,(B24-(B30+B31+B32))/B24)</f>
        <v>0.85</v>
      </c>
      <c r="C45" s="12">
        <f t="shared" si="13"/>
        <v>0.85</v>
      </c>
      <c r="D45" s="12">
        <f t="shared" si="13"/>
        <v>0.92931445455740591</v>
      </c>
      <c r="E45" s="12">
        <f t="shared" si="13"/>
        <v>0.88147757132997906</v>
      </c>
      <c r="F45" s="12">
        <f t="shared" si="13"/>
        <v>0.86507738994461658</v>
      </c>
      <c r="G45" s="12">
        <f t="shared" si="13"/>
        <v>0.82533361914209524</v>
      </c>
      <c r="H45" s="12">
        <f t="shared" si="13"/>
        <v>0.84046018840862236</v>
      </c>
      <c r="I45" s="12">
        <f t="shared" si="13"/>
        <v>0.84885726475715684</v>
      </c>
      <c r="J45" s="12">
        <f t="shared" si="13"/>
        <v>0.85426732657619631</v>
      </c>
      <c r="K45" s="12">
        <f t="shared" si="13"/>
        <v>0.85805838562164016</v>
      </c>
      <c r="L45" s="12">
        <f t="shared" si="13"/>
        <v>0.8608450251161085</v>
      </c>
      <c r="M45" s="12">
        <f t="shared" si="13"/>
        <v>0.86294076171739875</v>
      </c>
      <c r="N45" s="12">
        <f t="shared" si="13"/>
        <v>0.87258963263533418</v>
      </c>
      <c r="O45" s="12">
        <f t="shared" si="13"/>
        <v>0.87085461364677808</v>
      </c>
      <c r="P45" s="12">
        <f t="shared" si="13"/>
        <v>0.86943229903747332</v>
      </c>
      <c r="Q45" s="12">
        <f t="shared" si="13"/>
        <v>0.8682798729366844</v>
      </c>
      <c r="R45" s="12">
        <f t="shared" si="13"/>
        <v>0.86727462945279599</v>
      </c>
      <c r="S45" s="12">
        <f t="shared" si="13"/>
        <v>0.86634010417309804</v>
      </c>
      <c r="T45" s="12">
        <f t="shared" si="13"/>
        <v>0.86542548270192543</v>
      </c>
      <c r="U45" s="12">
        <f t="shared" si="13"/>
        <v>0.86449541500209004</v>
      </c>
      <c r="V45" s="12">
        <f t="shared" si="13"/>
        <v>0.86352469506481955</v>
      </c>
      <c r="W45" s="12">
        <f t="shared" si="13"/>
        <v>0.86249540405192648</v>
      </c>
      <c r="X45" s="12">
        <f t="shared" si="13"/>
        <v>0.74460504947374617</v>
      </c>
      <c r="Y45" s="12">
        <f t="shared" si="13"/>
        <v>0.74293251784458858</v>
      </c>
      <c r="Z45" s="12">
        <f t="shared" si="13"/>
        <v>0.74777505518597831</v>
      </c>
      <c r="AA45" s="12">
        <f t="shared" si="13"/>
        <v>0.74847425223709563</v>
      </c>
      <c r="AB45" s="12">
        <f t="shared" si="13"/>
        <v>0.74848607471228112</v>
      </c>
      <c r="AC45" s="12">
        <f t="shared" si="13"/>
        <v>0.7479005964999107</v>
      </c>
      <c r="AD45" s="12">
        <f t="shared" si="13"/>
        <v>0.74680073783356349</v>
      </c>
      <c r="AE45" s="12">
        <f t="shared" si="13"/>
        <v>0.74526522979961973</v>
      </c>
      <c r="AF45" s="12">
        <f t="shared" si="13"/>
        <v>0.74337011795713148</v>
      </c>
      <c r="AG45" s="12">
        <f t="shared" si="13"/>
        <v>0.74118915879614644</v>
      </c>
      <c r="AH45" s="12">
        <f t="shared" si="13"/>
        <v>0.73879341586220137</v>
      </c>
      <c r="AI45" s="12">
        <f t="shared" si="13"/>
        <v>0.73625034173531667</v>
      </c>
      <c r="AJ45" s="12">
        <f t="shared" si="13"/>
        <v>0.73362261325833067</v>
      </c>
      <c r="AK45" s="12">
        <f t="shared" si="13"/>
        <v>0.73096695676051704</v>
      </c>
      <c r="AL45" s="12">
        <f>IF(SUM(B24:M24)=0,0,(SUM(B24:M24)-(SUM(B30:M30)+SUM(B31:M31)+SUM(B32:M32)))/SUM(B24:M24))</f>
        <v>0.85559135208324399</v>
      </c>
      <c r="AM45" s="12">
        <f>IF(SUM(N24:Y24)=0,0,(SUM(N24:Y24)-(SUM(N30:Y30)+SUM(N31:Y31)+SUM(N32:Y32)))/SUM(N24:Y24))</f>
        <v>0.83450216498802232</v>
      </c>
      <c r="AN45" s="12">
        <f>IF(SUM(Z24:AK24)=0,0,(SUM(Z24:AK24)-(SUM(Z30:AK30)+SUM(Z31:AK31)+SUM(Z32:AK32)))/SUM(Z24:AK24))</f>
        <v>0.74007926970724758</v>
      </c>
      <c r="AO45" t="s">
        <v>95</v>
      </c>
    </row>
    <row r="46" spans="1:41" ht="15" customHeight="1" x14ac:dyDescent="0.2">
      <c r="A46" s="3" t="s">
        <v>96</v>
      </c>
      <c r="B46" s="2">
        <f t="shared" ref="B46:AK46" si="14">B24-B42</f>
        <v>-3072.1664999999998</v>
      </c>
      <c r="C46" s="2">
        <f t="shared" si="14"/>
        <v>-2956.8189075</v>
      </c>
      <c r="D46" s="2">
        <f t="shared" si="14"/>
        <v>-9443.5463402250007</v>
      </c>
      <c r="E46" s="2">
        <f t="shared" si="14"/>
        <v>-21129.043847426077</v>
      </c>
      <c r="F46" s="2">
        <f t="shared" si="14"/>
        <v>-18107.87710282885</v>
      </c>
      <c r="G46" s="2">
        <f t="shared" si="14"/>
        <v>-14338.993494434784</v>
      </c>
      <c r="H46" s="2">
        <f t="shared" si="14"/>
        <v>-12483.750553820173</v>
      </c>
      <c r="I46" s="2">
        <f t="shared" si="14"/>
        <v>-8419.2164637344285</v>
      </c>
      <c r="J46" s="2">
        <f t="shared" si="14"/>
        <v>-4449.8595884608512</v>
      </c>
      <c r="K46" s="2">
        <f t="shared" si="14"/>
        <v>-545.9188574695836</v>
      </c>
      <c r="L46" s="2">
        <f t="shared" si="14"/>
        <v>3323.8805455486363</v>
      </c>
      <c r="M46" s="2">
        <f t="shared" si="14"/>
        <v>7193.0189725707314</v>
      </c>
      <c r="N46" s="2">
        <f t="shared" si="14"/>
        <v>-36038.806833848517</v>
      </c>
      <c r="O46" s="2">
        <f t="shared" si="14"/>
        <v>-28256.609207171568</v>
      </c>
      <c r="P46" s="2">
        <f t="shared" si="14"/>
        <v>-25107.131178250973</v>
      </c>
      <c r="Q46" s="2">
        <f t="shared" si="14"/>
        <v>-11875.727324351144</v>
      </c>
      <c r="R46" s="2">
        <f t="shared" si="14"/>
        <v>-3490.7742555489094</v>
      </c>
      <c r="S46" s="2">
        <f t="shared" si="14"/>
        <v>5129.2349899263354</v>
      </c>
      <c r="T46" s="2">
        <f t="shared" si="14"/>
        <v>14077.925065151547</v>
      </c>
      <c r="U46" s="2">
        <f t="shared" si="14"/>
        <v>20463.669489541964</v>
      </c>
      <c r="V46" s="2">
        <f t="shared" si="14"/>
        <v>30412.698603089812</v>
      </c>
      <c r="W46" s="2">
        <f t="shared" si="14"/>
        <v>41072.778999624759</v>
      </c>
      <c r="X46" s="2">
        <f t="shared" si="14"/>
        <v>32721.543796214479</v>
      </c>
      <c r="Y46" s="2">
        <f t="shared" si="14"/>
        <v>46354.834064626077</v>
      </c>
      <c r="Z46" s="2">
        <f t="shared" si="14"/>
        <v>18246.983105082618</v>
      </c>
      <c r="AA46" s="2">
        <f t="shared" si="14"/>
        <v>33583.467212426622</v>
      </c>
      <c r="AB46" s="2">
        <f t="shared" si="14"/>
        <v>50581.301945051149</v>
      </c>
      <c r="AC46" s="2">
        <f t="shared" si="14"/>
        <v>70862.237667767447</v>
      </c>
      <c r="AD46" s="2">
        <f t="shared" si="14"/>
        <v>94496.427051750565</v>
      </c>
      <c r="AE46" s="2">
        <f t="shared" si="14"/>
        <v>121367.35502083035</v>
      </c>
      <c r="AF46" s="2">
        <f t="shared" si="14"/>
        <v>152113.36597251683</v>
      </c>
      <c r="AG46" s="2">
        <f t="shared" si="14"/>
        <v>187493.48995004193</v>
      </c>
      <c r="AH46" s="2">
        <f t="shared" si="14"/>
        <v>228410.38812712929</v>
      </c>
      <c r="AI46" s="2">
        <f t="shared" si="14"/>
        <v>275937.65762364957</v>
      </c>
      <c r="AJ46" s="2">
        <f t="shared" si="14"/>
        <v>331352.32392505259</v>
      </c>
      <c r="AK46" s="2">
        <f t="shared" si="14"/>
        <v>396173.50655090762</v>
      </c>
      <c r="AL46" s="2">
        <f>SUM(B46:M46)</f>
        <v>-84430.292137780358</v>
      </c>
      <c r="AM46" s="2">
        <f>SUM(N46:Y46)</f>
        <v>85463.63620900386</v>
      </c>
      <c r="AN46" s="2">
        <f>SUM(Z46:AK46)</f>
        <v>1960618.5041522065</v>
      </c>
    </row>
    <row r="47" spans="1:41" ht="15" customHeight="1" x14ac:dyDescent="0.2">
      <c r="A47" s="3" t="s">
        <v>97</v>
      </c>
      <c r="B47" s="19">
        <f>Assumptions!D73</f>
        <v>350000</v>
      </c>
      <c r="C47" s="2">
        <f>IF(2=Assumptions!D74,Assumptions!D75,0)</f>
        <v>0</v>
      </c>
      <c r="D47" s="2">
        <f>IF(3=Assumptions!D74,Assumptions!D75,0)</f>
        <v>0</v>
      </c>
      <c r="E47" s="2">
        <f>IF(4=Assumptions!D74,Assumptions!D75,0)</f>
        <v>0</v>
      </c>
      <c r="F47" s="2">
        <f>IF(5=Assumptions!D74,Assumptions!D75,0)</f>
        <v>0</v>
      </c>
      <c r="G47" s="2">
        <f>IF(6=Assumptions!D74,Assumptions!D75,0)</f>
        <v>0</v>
      </c>
      <c r="H47" s="2">
        <f>IF(7=Assumptions!D74,Assumptions!D75,0)</f>
        <v>0</v>
      </c>
      <c r="I47" s="2">
        <f>IF(8=Assumptions!D74,Assumptions!D75,0)</f>
        <v>0</v>
      </c>
      <c r="J47" s="2">
        <f>IF(9=Assumptions!D74,Assumptions!D75,0)</f>
        <v>0</v>
      </c>
      <c r="K47" s="2">
        <f>IF(10=Assumptions!D74,Assumptions!D75,0)</f>
        <v>0</v>
      </c>
      <c r="L47" s="2">
        <f>IF(11=Assumptions!D74,Assumptions!D75,0)</f>
        <v>0</v>
      </c>
      <c r="M47" s="2">
        <f>IF(12=Assumptions!D74,Assumptions!D75,0)</f>
        <v>0</v>
      </c>
      <c r="N47" s="19">
        <f>IF(13=Assumptions!D74,Assumptions!D75,0)</f>
        <v>3000000</v>
      </c>
      <c r="O47" s="2">
        <f>IF(14=Assumptions!D74,Assumptions!D75,0)</f>
        <v>0</v>
      </c>
      <c r="P47" s="2">
        <f>IF(15=Assumptions!D74,Assumptions!D75,0)</f>
        <v>0</v>
      </c>
      <c r="Q47" s="2">
        <f>IF(16=Assumptions!D74,Assumptions!D75,0)</f>
        <v>0</v>
      </c>
      <c r="R47" s="2">
        <f>IF(17=Assumptions!D74,Assumptions!D75,0)</f>
        <v>0</v>
      </c>
      <c r="S47" s="2">
        <f>IF(18=Assumptions!D74,Assumptions!D75,0)</f>
        <v>0</v>
      </c>
      <c r="T47" s="2">
        <f>IF(19=Assumptions!D74,Assumptions!D75,0)</f>
        <v>0</v>
      </c>
      <c r="U47" s="2">
        <f>IF(20=Assumptions!D74,Assumptions!D75,0)</f>
        <v>0</v>
      </c>
      <c r="V47" s="2">
        <f>IF(21=Assumptions!D74,Assumptions!D75,0)</f>
        <v>0</v>
      </c>
      <c r="W47" s="2">
        <f>IF(22=Assumptions!D74,Assumptions!D75,0)</f>
        <v>0</v>
      </c>
      <c r="X47" s="2">
        <f>IF(23=Assumptions!D74,Assumptions!D75,0)</f>
        <v>0</v>
      </c>
      <c r="Y47" s="2">
        <f>IF(24=Assumptions!D74,Assumptions!D75,0)</f>
        <v>0</v>
      </c>
      <c r="Z47" s="2">
        <f>IF(25=Assumptions!D74,Assumptions!D75,0)</f>
        <v>0</v>
      </c>
      <c r="AA47" s="2">
        <f>IF(26=Assumptions!D74,Assumptions!D75,0)</f>
        <v>0</v>
      </c>
      <c r="AB47" s="2">
        <f>IF(27=Assumptions!D74,Assumptions!D75,0)</f>
        <v>0</v>
      </c>
      <c r="AC47" s="2">
        <f>IF(28=Assumptions!D74,Assumptions!D75,0)</f>
        <v>0</v>
      </c>
      <c r="AD47" s="2">
        <f>IF(29=Assumptions!D74,Assumptions!D75,0)</f>
        <v>0</v>
      </c>
      <c r="AE47" s="2">
        <f>IF(30=Assumptions!D74,Assumptions!D75,0)</f>
        <v>0</v>
      </c>
      <c r="AF47" s="2">
        <f>IF(31=Assumptions!D74,Assumptions!D75,0)</f>
        <v>0</v>
      </c>
      <c r="AG47" s="2">
        <f>IF(32=Assumptions!D74,Assumptions!D75,0)</f>
        <v>0</v>
      </c>
      <c r="AH47" s="2">
        <f>IF(33=Assumptions!D74,Assumptions!D75,0)</f>
        <v>0</v>
      </c>
      <c r="AI47" s="2">
        <f>IF(34=Assumptions!D74,Assumptions!D75,0)</f>
        <v>0</v>
      </c>
      <c r="AJ47" s="2">
        <f>IF(35=Assumptions!D74,Assumptions!D75,0)</f>
        <v>0</v>
      </c>
      <c r="AK47" s="2">
        <f>IF(36=Assumptions!D74,Assumptions!D75,0)</f>
        <v>0</v>
      </c>
      <c r="AL47" s="2">
        <f>SUM(B47:M47)</f>
        <v>350000</v>
      </c>
      <c r="AM47" s="2">
        <f>SUM(N47:Y47)</f>
        <v>3000000</v>
      </c>
      <c r="AN47" s="2">
        <f>SUM(Z47:AK47)</f>
        <v>0</v>
      </c>
      <c r="AO47" t="s">
        <v>98</v>
      </c>
    </row>
    <row r="48" spans="1:41" ht="15" customHeight="1" x14ac:dyDescent="0.2">
      <c r="A48" s="13" t="s">
        <v>99</v>
      </c>
      <c r="B48" s="9">
        <f>B46+B47</f>
        <v>346927.83350000001</v>
      </c>
      <c r="C48" s="9">
        <f t="shared" ref="C48:AK48" si="15">B48+C46+C47</f>
        <v>343971.0145925</v>
      </c>
      <c r="D48" s="9">
        <f t="shared" si="15"/>
        <v>334527.46825227502</v>
      </c>
      <c r="E48" s="9">
        <f t="shared" si="15"/>
        <v>313398.42440484895</v>
      </c>
      <c r="F48" s="9">
        <f t="shared" si="15"/>
        <v>295290.54730202007</v>
      </c>
      <c r="G48" s="9">
        <f t="shared" si="15"/>
        <v>280951.55380758527</v>
      </c>
      <c r="H48" s="9">
        <f t="shared" si="15"/>
        <v>268467.8032537651</v>
      </c>
      <c r="I48" s="9">
        <f t="shared" si="15"/>
        <v>260048.58679003068</v>
      </c>
      <c r="J48" s="9">
        <f t="shared" si="15"/>
        <v>255598.72720156983</v>
      </c>
      <c r="K48" s="9">
        <f t="shared" si="15"/>
        <v>255052.80834410025</v>
      </c>
      <c r="L48" s="9">
        <f t="shared" si="15"/>
        <v>258376.68888964888</v>
      </c>
      <c r="M48" s="9">
        <f t="shared" si="15"/>
        <v>265569.7078622196</v>
      </c>
      <c r="N48" s="9">
        <f t="shared" si="15"/>
        <v>3229530.901028371</v>
      </c>
      <c r="O48" s="9">
        <f t="shared" si="15"/>
        <v>3201274.2918211995</v>
      </c>
      <c r="P48" s="9">
        <f t="shared" si="15"/>
        <v>3176167.1606429485</v>
      </c>
      <c r="Q48" s="9">
        <f t="shared" si="15"/>
        <v>3164291.4333185973</v>
      </c>
      <c r="R48" s="9">
        <f t="shared" si="15"/>
        <v>3160800.6590630482</v>
      </c>
      <c r="S48" s="9">
        <f t="shared" si="15"/>
        <v>3165929.8940529744</v>
      </c>
      <c r="T48" s="9">
        <f t="shared" si="15"/>
        <v>3180007.8191181258</v>
      </c>
      <c r="U48" s="9">
        <f t="shared" si="15"/>
        <v>3200471.4886076679</v>
      </c>
      <c r="V48" s="9">
        <f t="shared" si="15"/>
        <v>3230884.1872107578</v>
      </c>
      <c r="W48" s="9">
        <f t="shared" si="15"/>
        <v>3271956.9662103825</v>
      </c>
      <c r="X48" s="9">
        <f t="shared" si="15"/>
        <v>3304678.5100065968</v>
      </c>
      <c r="Y48" s="9">
        <f t="shared" si="15"/>
        <v>3351033.3440712229</v>
      </c>
      <c r="Z48" s="9">
        <f t="shared" si="15"/>
        <v>3369280.3271763055</v>
      </c>
      <c r="AA48" s="9">
        <f t="shared" si="15"/>
        <v>3402863.7943887319</v>
      </c>
      <c r="AB48" s="9">
        <f t="shared" si="15"/>
        <v>3453445.0963337831</v>
      </c>
      <c r="AC48" s="9">
        <f t="shared" si="15"/>
        <v>3524307.3340015505</v>
      </c>
      <c r="AD48" s="9">
        <f t="shared" si="15"/>
        <v>3618803.7610533009</v>
      </c>
      <c r="AE48" s="9">
        <f t="shared" si="15"/>
        <v>3740171.1160741313</v>
      </c>
      <c r="AF48" s="9">
        <f t="shared" si="15"/>
        <v>3892284.4820466479</v>
      </c>
      <c r="AG48" s="9">
        <f t="shared" si="15"/>
        <v>4079777.9719966897</v>
      </c>
      <c r="AH48" s="9">
        <f t="shared" si="15"/>
        <v>4308188.3601238187</v>
      </c>
      <c r="AI48" s="9">
        <f t="shared" si="15"/>
        <v>4584126.0177474683</v>
      </c>
      <c r="AJ48" s="9">
        <f t="shared" si="15"/>
        <v>4915478.3416725211</v>
      </c>
      <c r="AK48" s="9">
        <f t="shared" si="15"/>
        <v>5311651.8482234292</v>
      </c>
      <c r="AL48" s="9">
        <f>M48</f>
        <v>265569.7078622196</v>
      </c>
      <c r="AM48" s="9">
        <f>Y48</f>
        <v>3351033.3440712229</v>
      </c>
      <c r="AN48" s="9">
        <f>AK48</f>
        <v>5311651.8482234292</v>
      </c>
    </row>
    <row r="50" spans="1:41" ht="15" customHeight="1" x14ac:dyDescent="0.2">
      <c r="A50" s="30" t="s">
        <v>100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</row>
    <row r="51" spans="1:41" ht="15" customHeight="1" x14ac:dyDescent="0.2">
      <c r="A51" s="13" t="s">
        <v>101</v>
      </c>
      <c r="B51" s="20">
        <f>Assumptions!D4*(1-Assumptions!D41)/AVERAGE(N9:Y9)</f>
        <v>67.922866484286374</v>
      </c>
      <c r="AO51" t="s">
        <v>102</v>
      </c>
    </row>
    <row r="52" spans="1:41" ht="15" customHeight="1" x14ac:dyDescent="0.2">
      <c r="A52" s="13" t="s">
        <v>103</v>
      </c>
      <c r="B52" s="20">
        <f>Assumptions!D5*(1-Assumptions!D41)/Assumptions!D27</f>
        <v>315.47142857142853</v>
      </c>
    </row>
    <row r="53" spans="1:41" ht="15" customHeight="1" x14ac:dyDescent="0.2">
      <c r="A53" s="13" t="s">
        <v>104</v>
      </c>
      <c r="B53" s="20">
        <f>Assumptions!D15</f>
        <v>15</v>
      </c>
    </row>
    <row r="54" spans="1:41" ht="15" customHeight="1" x14ac:dyDescent="0.2">
      <c r="A54" s="13" t="s">
        <v>105</v>
      </c>
      <c r="B54" s="21">
        <f>IF(B53=0,0,B51/B53)</f>
        <v>4.5281910989524246</v>
      </c>
      <c r="AO54" t="s">
        <v>106</v>
      </c>
    </row>
    <row r="55" spans="1:41" ht="15" customHeight="1" x14ac:dyDescent="0.2">
      <c r="A55" s="3" t="s">
        <v>107</v>
      </c>
      <c r="B55" s="2">
        <f>IF(B53=0,0,B53/(Assumptions!D4*(1-Assumptions!D41)))</f>
        <v>3.5364847341742305</v>
      </c>
    </row>
    <row r="56" spans="1:41" ht="27.75" customHeight="1" x14ac:dyDescent="0.2">
      <c r="A56" s="3" t="s">
        <v>108</v>
      </c>
      <c r="B56" s="4">
        <v>4.2</v>
      </c>
    </row>
    <row r="57" spans="1:41" ht="15" customHeight="1" x14ac:dyDescent="0.2">
      <c r="A57" s="3" t="s">
        <v>109</v>
      </c>
      <c r="B57" s="23">
        <f>IF(B56=0,0,B51/B56)</f>
        <v>16.172111067687233</v>
      </c>
    </row>
  </sheetData>
  <mergeCells count="6">
    <mergeCell ref="A1:AM1"/>
    <mergeCell ref="A28:AO28"/>
    <mergeCell ref="A44:AO44"/>
    <mergeCell ref="A17:AO17"/>
    <mergeCell ref="A50:AO50"/>
    <mergeCell ref="A4:AO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57"/>
  <sheetViews>
    <sheetView zoomScaleNormal="100" workbookViewId="0">
      <pane xSplit="1" ySplit="3" topLeftCell="W6" activePane="bottomRight" state="frozen"/>
      <selection pane="topRight" activeCell="X1" sqref="X1"/>
      <selection pane="bottomLeft" activeCell="A19" sqref="A19"/>
      <selection pane="bottomRight" activeCell="Y15" sqref="Y15"/>
    </sheetView>
  </sheetViews>
  <sheetFormatPr baseColWidth="10" defaultColWidth="8.6640625" defaultRowHeight="15" x14ac:dyDescent="0.2"/>
  <cols>
    <col min="1" max="1" width="55" customWidth="1"/>
    <col min="2" max="37" width="9" customWidth="1"/>
    <col min="38" max="40" width="12" customWidth="1"/>
    <col min="41" max="41" width="55" customWidth="1"/>
  </cols>
  <sheetData>
    <row r="1" spans="1:41" ht="15" customHeight="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</row>
    <row r="2" spans="1:41" ht="1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</row>
    <row r="3" spans="1:41" ht="15" customHeight="1" x14ac:dyDescent="0.2">
      <c r="A3" s="9" t="s">
        <v>42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2</v>
      </c>
      <c r="O3" s="10">
        <v>2</v>
      </c>
      <c r="P3" s="10">
        <v>2</v>
      </c>
      <c r="Q3" s="10">
        <v>2</v>
      </c>
      <c r="R3" s="10">
        <v>2</v>
      </c>
      <c r="S3" s="10">
        <v>2</v>
      </c>
      <c r="T3" s="10">
        <v>2</v>
      </c>
      <c r="U3" s="10">
        <v>2</v>
      </c>
      <c r="V3" s="10">
        <v>2</v>
      </c>
      <c r="W3" s="10">
        <v>2</v>
      </c>
      <c r="X3" s="10">
        <v>2</v>
      </c>
      <c r="Y3" s="10">
        <v>2</v>
      </c>
      <c r="Z3" s="10">
        <v>3</v>
      </c>
      <c r="AA3" s="10">
        <v>3</v>
      </c>
      <c r="AB3" s="10">
        <v>3</v>
      </c>
      <c r="AC3" s="10">
        <v>3</v>
      </c>
      <c r="AD3" s="10">
        <v>3</v>
      </c>
      <c r="AE3" s="10">
        <v>3</v>
      </c>
      <c r="AF3" s="10">
        <v>3</v>
      </c>
      <c r="AG3" s="10">
        <v>3</v>
      </c>
      <c r="AH3" s="10">
        <v>3</v>
      </c>
      <c r="AI3" s="10">
        <v>3</v>
      </c>
      <c r="AJ3" s="10">
        <v>3</v>
      </c>
      <c r="AK3" s="10">
        <v>3</v>
      </c>
    </row>
    <row r="4" spans="1:41" ht="15" customHeight="1" x14ac:dyDescent="0.2">
      <c r="A4" s="30" t="s">
        <v>43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</row>
    <row r="5" spans="1:41" ht="15" customHeight="1" x14ac:dyDescent="0.2">
      <c r="A5" s="3" t="s">
        <v>44</v>
      </c>
      <c r="B5" s="11">
        <f>Assumptions!E9</f>
        <v>420</v>
      </c>
      <c r="C5" s="11">
        <f>B5*(1+Assumptions!E10)</f>
        <v>504</v>
      </c>
      <c r="D5" s="11">
        <f>C5*(1+Assumptions!E10)</f>
        <v>604.79999999999995</v>
      </c>
      <c r="E5" s="11">
        <f>D5*(1+Assumptions!E10)</f>
        <v>725.75999999999988</v>
      </c>
      <c r="F5" s="11">
        <f>E5*(1+Assumptions!E10)</f>
        <v>870.91199999999981</v>
      </c>
      <c r="G5" s="11">
        <f>F5*(1+Assumptions!E10)</f>
        <v>1045.0943999999997</v>
      </c>
      <c r="H5" s="11">
        <f>G5*(1+Assumptions!E10)</f>
        <v>1254.1132799999996</v>
      </c>
      <c r="I5" s="11">
        <f>H5*(1+Assumptions!E10)</f>
        <v>1504.9359359999994</v>
      </c>
      <c r="J5" s="11">
        <f>I5*(1+Assumptions!E10)</f>
        <v>1805.9231231999993</v>
      </c>
      <c r="K5" s="11">
        <f>J5*(1+Assumptions!E10)</f>
        <v>2167.1077478399989</v>
      </c>
      <c r="L5" s="11">
        <f>K5*(1+Assumptions!E10)</f>
        <v>2600.5292974079985</v>
      </c>
      <c r="M5" s="11">
        <f>L5*(1+Assumptions!E10)</f>
        <v>3120.635156889598</v>
      </c>
      <c r="N5" s="11">
        <f>M5*(1+Assumptions!E10)</f>
        <v>3744.7621882675176</v>
      </c>
      <c r="O5" s="11">
        <f>N5*(1+Assumptions!E10)</f>
        <v>4493.7146259210213</v>
      </c>
      <c r="P5" s="11">
        <f>O5*(1+Assumptions!E10)</f>
        <v>5392.4575511052253</v>
      </c>
      <c r="Q5" s="11">
        <f>P5*(1+Assumptions!E10)</f>
        <v>6470.9490613262706</v>
      </c>
      <c r="R5" s="11">
        <f>Q5*(1+Assumptions!E10)</f>
        <v>7765.1388735915243</v>
      </c>
      <c r="S5" s="11">
        <f>R5*(1+Assumptions!E10)</f>
        <v>9318.1666483098288</v>
      </c>
      <c r="T5" s="11">
        <f>S5*(1+Assumptions!E10)</f>
        <v>11181.799977971794</v>
      </c>
      <c r="U5" s="11">
        <f>T5*(1+Assumptions!E10)</f>
        <v>13418.159973566153</v>
      </c>
      <c r="V5" s="11">
        <f>U5*(1+Assumptions!E10)</f>
        <v>16101.791968279384</v>
      </c>
      <c r="W5" s="11">
        <f>V5*(1+Assumptions!E10)</f>
        <v>19322.150361935259</v>
      </c>
      <c r="X5" s="11">
        <f>W5*(1+Assumptions!E10)</f>
        <v>23186.58043432231</v>
      </c>
      <c r="Y5" s="11">
        <f>X5*(1+Assumptions!E10)</f>
        <v>27823.896521186773</v>
      </c>
      <c r="Z5" s="11">
        <f>Y5*(1+Assumptions!E10)</f>
        <v>33388.675825424129</v>
      </c>
      <c r="AA5" s="11">
        <f>Z5*(1+Assumptions!E10)</f>
        <v>40066.41099050895</v>
      </c>
      <c r="AB5" s="11">
        <f>AA5*(1+Assumptions!E10)</f>
        <v>48079.693188610741</v>
      </c>
      <c r="AC5" s="11">
        <f>AB5*(1+Assumptions!E10)</f>
        <v>57695.631826332887</v>
      </c>
      <c r="AD5" s="11">
        <f>AC5*(1+Assumptions!E10)</f>
        <v>69234.758191599467</v>
      </c>
      <c r="AE5" s="11">
        <f>AD5*(1+Assumptions!E10)</f>
        <v>83081.70982991936</v>
      </c>
      <c r="AF5" s="11">
        <f>AE5*(1+Assumptions!E10)</f>
        <v>99698.05179590323</v>
      </c>
      <c r="AG5" s="11">
        <f>AF5*(1+Assumptions!E10)</f>
        <v>119637.66215508388</v>
      </c>
      <c r="AH5" s="11">
        <f>AG5*(1+Assumptions!E10)</f>
        <v>143565.19458610064</v>
      </c>
      <c r="AI5" s="11">
        <f>AH5*(1+Assumptions!E10)</f>
        <v>172278.23350332075</v>
      </c>
      <c r="AJ5" s="11">
        <f>AI5*(1+Assumptions!E10)</f>
        <v>206733.88020398488</v>
      </c>
      <c r="AK5" s="11">
        <f>AJ5*(1+Assumptions!E10)</f>
        <v>248080.65624478186</v>
      </c>
      <c r="AL5" s="11">
        <f>SUM(B5:M5)</f>
        <v>16623.810941337593</v>
      </c>
      <c r="AM5" s="11">
        <f>SUM(N5:Y5)</f>
        <v>148219.56818578305</v>
      </c>
      <c r="AN5" s="11">
        <f>SUM(Z5:AK5)</f>
        <v>1321540.5583415707</v>
      </c>
      <c r="AO5" t="s">
        <v>45</v>
      </c>
    </row>
    <row r="6" spans="1:41" ht="27.75" customHeight="1" x14ac:dyDescent="0.2">
      <c r="A6" s="3" t="s">
        <v>46</v>
      </c>
      <c r="B6" s="11">
        <f>B5*Assumptions!E11</f>
        <v>54.6</v>
      </c>
      <c r="C6" s="11">
        <f>C5*Assumptions!E11</f>
        <v>65.52</v>
      </c>
      <c r="D6" s="11">
        <f>D5*Assumptions!E11</f>
        <v>78.623999999999995</v>
      </c>
      <c r="E6" s="11">
        <f>E5*Assumptions!E11</f>
        <v>94.348799999999983</v>
      </c>
      <c r="F6" s="11">
        <f>F5*Assumptions!E11</f>
        <v>113.21855999999998</v>
      </c>
      <c r="G6" s="11">
        <f>G5*Assumptions!E11</f>
        <v>135.86227199999996</v>
      </c>
      <c r="H6" s="11">
        <f>H5*Assumptions!E11</f>
        <v>163.03472639999995</v>
      </c>
      <c r="I6" s="11">
        <f>I5*Assumptions!E11</f>
        <v>195.64167167999992</v>
      </c>
      <c r="J6" s="11">
        <f>J5*Assumptions!E11</f>
        <v>234.77000601599991</v>
      </c>
      <c r="K6" s="11">
        <f>K5*Assumptions!E11</f>
        <v>281.72400721919985</v>
      </c>
      <c r="L6" s="11">
        <f>L5*Assumptions!E11</f>
        <v>338.06880866303982</v>
      </c>
      <c r="M6" s="11">
        <f>M5*Assumptions!E11</f>
        <v>405.68257039564776</v>
      </c>
      <c r="N6" s="11">
        <f>N5*Assumptions!E11</f>
        <v>486.8190844747773</v>
      </c>
      <c r="O6" s="11">
        <f>O5*Assumptions!E11</f>
        <v>584.1829013697328</v>
      </c>
      <c r="P6" s="11">
        <f>P5*Assumptions!E11</f>
        <v>701.01948164367934</v>
      </c>
      <c r="Q6" s="11">
        <f>Q5*Assumptions!E11</f>
        <v>841.22337797241516</v>
      </c>
      <c r="R6" s="11">
        <f>R5*Assumptions!E11</f>
        <v>1009.4680535668982</v>
      </c>
      <c r="S6" s="11">
        <f>S5*Assumptions!E11</f>
        <v>1211.3616642802779</v>
      </c>
      <c r="T6" s="11">
        <f>T5*Assumptions!E11</f>
        <v>1453.6339971363332</v>
      </c>
      <c r="U6" s="11">
        <f>U5*Assumptions!E11</f>
        <v>1744.3607965635999</v>
      </c>
      <c r="V6" s="11">
        <f>V5*Assumptions!E11</f>
        <v>2093.2329558763199</v>
      </c>
      <c r="W6" s="11">
        <f>W5*Assumptions!E11</f>
        <v>2511.8795470515838</v>
      </c>
      <c r="X6" s="11">
        <f>X5*Assumptions!E11</f>
        <v>3014.2554564619004</v>
      </c>
      <c r="Y6" s="11">
        <f>Y5*Assumptions!E11</f>
        <v>3617.1065477542807</v>
      </c>
      <c r="Z6" s="11">
        <f>Z5*Assumptions!E11</f>
        <v>4340.5278573051364</v>
      </c>
      <c r="AA6" s="11">
        <f>AA5*Assumptions!E11</f>
        <v>5208.6334287661639</v>
      </c>
      <c r="AB6" s="11">
        <f>AB5*Assumptions!E11</f>
        <v>6250.360114519397</v>
      </c>
      <c r="AC6" s="11">
        <f>AC5*Assumptions!E11</f>
        <v>7500.4321374232759</v>
      </c>
      <c r="AD6" s="11">
        <f>AD5*Assumptions!E11</f>
        <v>9000.5185649079303</v>
      </c>
      <c r="AE6" s="11">
        <f>AE5*Assumptions!E11</f>
        <v>10800.622277889517</v>
      </c>
      <c r="AF6" s="11">
        <f>AF5*Assumptions!E11</f>
        <v>12960.74673346742</v>
      </c>
      <c r="AG6" s="11">
        <f>AG5*Assumptions!E11</f>
        <v>15552.896080160905</v>
      </c>
      <c r="AH6" s="11">
        <f>AH5*Assumptions!E11</f>
        <v>18663.475296193083</v>
      </c>
      <c r="AI6" s="11">
        <f>AI5*Assumptions!E11</f>
        <v>22396.170355431699</v>
      </c>
      <c r="AJ6" s="11">
        <f>AJ5*Assumptions!E11</f>
        <v>26875.404426518035</v>
      </c>
      <c r="AK6" s="11">
        <f>AK5*Assumptions!E11</f>
        <v>32250.485311821642</v>
      </c>
      <c r="AL6" s="11">
        <f>SUM(B6:M6)</f>
        <v>2161.0954223738872</v>
      </c>
      <c r="AM6" s="11">
        <f>SUM(N6:Y6)</f>
        <v>19268.543864151798</v>
      </c>
      <c r="AN6" s="11">
        <f>SUM(Z6:AK6)</f>
        <v>171800.27258440421</v>
      </c>
      <c r="AO6" t="s">
        <v>47</v>
      </c>
    </row>
    <row r="7" spans="1:41" ht="15" customHeight="1" x14ac:dyDescent="0.2">
      <c r="A7" s="3" t="s">
        <v>48</v>
      </c>
      <c r="B7" s="11">
        <f>0</f>
        <v>0</v>
      </c>
      <c r="C7" s="11">
        <f>0</f>
        <v>0</v>
      </c>
      <c r="D7" s="11">
        <f>0</f>
        <v>0</v>
      </c>
      <c r="E7" s="11">
        <f>Assumptions!E12/Assumptions!E15</f>
        <v>1166.6666666666667</v>
      </c>
      <c r="F7" s="11">
        <f>Assumptions!E12/Assumptions!E15</f>
        <v>1166.6666666666667</v>
      </c>
      <c r="G7" s="11">
        <f>Assumptions!E12/Assumptions!E15</f>
        <v>1166.6666666666667</v>
      </c>
      <c r="H7" s="11">
        <f>Assumptions!E12/Assumptions!E15</f>
        <v>1166.6666666666667</v>
      </c>
      <c r="I7" s="11">
        <f>Assumptions!E12/Assumptions!E15</f>
        <v>1166.6666666666667</v>
      </c>
      <c r="J7" s="11">
        <f>Assumptions!E12/Assumptions!E15</f>
        <v>1166.6666666666667</v>
      </c>
      <c r="K7" s="11">
        <f>Assumptions!E12/Assumptions!E15</f>
        <v>1166.6666666666667</v>
      </c>
      <c r="L7" s="11">
        <f>Assumptions!E12/Assumptions!E15</f>
        <v>1166.6666666666667</v>
      </c>
      <c r="M7" s="11">
        <f>Assumptions!E12/Assumptions!E15</f>
        <v>1166.6666666666667</v>
      </c>
      <c r="N7" s="11">
        <f>Assumptions!E13/Assumptions!E16</f>
        <v>1785.7142857142858</v>
      </c>
      <c r="O7" s="11">
        <f>Assumptions!E13/Assumptions!E16</f>
        <v>1785.7142857142858</v>
      </c>
      <c r="P7" s="11">
        <f>Assumptions!E13/Assumptions!E16</f>
        <v>1785.7142857142858</v>
      </c>
      <c r="Q7" s="11">
        <f>Assumptions!E13/Assumptions!E16</f>
        <v>1785.7142857142858</v>
      </c>
      <c r="R7" s="11">
        <f>Assumptions!E13/Assumptions!E16</f>
        <v>1785.7142857142858</v>
      </c>
      <c r="S7" s="11">
        <f>Assumptions!E13/Assumptions!E16</f>
        <v>1785.7142857142858</v>
      </c>
      <c r="T7" s="11">
        <f>Assumptions!E13/Assumptions!E16</f>
        <v>1785.7142857142858</v>
      </c>
      <c r="U7" s="11">
        <f>Assumptions!E13/Assumptions!E16</f>
        <v>1785.7142857142858</v>
      </c>
      <c r="V7" s="11">
        <f>Assumptions!E13/Assumptions!E16</f>
        <v>1785.7142857142858</v>
      </c>
      <c r="W7" s="11">
        <f>Assumptions!E13/Assumptions!E16</f>
        <v>1785.7142857142858</v>
      </c>
      <c r="X7" s="11">
        <f>Assumptions!E13/Assumptions!E16</f>
        <v>1785.7142857142858</v>
      </c>
      <c r="Y7" s="11">
        <f>Assumptions!E13/Assumptions!E16</f>
        <v>1785.7142857142858</v>
      </c>
      <c r="Z7" s="11">
        <f>Assumptions!E14/Assumptions!E16</f>
        <v>2714.2857142857142</v>
      </c>
      <c r="AA7" s="11">
        <f>Assumptions!E14/Assumptions!E16</f>
        <v>2714.2857142857142</v>
      </c>
      <c r="AB7" s="11">
        <f>Assumptions!E14/Assumptions!E16</f>
        <v>2714.2857142857142</v>
      </c>
      <c r="AC7" s="11">
        <f>Assumptions!E14/Assumptions!E16</f>
        <v>2714.2857142857142</v>
      </c>
      <c r="AD7" s="11">
        <f>Assumptions!E14/Assumptions!E16</f>
        <v>2714.2857142857142</v>
      </c>
      <c r="AE7" s="11">
        <f>Assumptions!E14/Assumptions!E16</f>
        <v>2714.2857142857142</v>
      </c>
      <c r="AF7" s="11">
        <f>Assumptions!E14/Assumptions!E16</f>
        <v>2714.2857142857142</v>
      </c>
      <c r="AG7" s="11">
        <f>Assumptions!E14/Assumptions!E16</f>
        <v>2714.2857142857142</v>
      </c>
      <c r="AH7" s="11">
        <f>Assumptions!E14/Assumptions!E16</f>
        <v>2714.2857142857142</v>
      </c>
      <c r="AI7" s="11">
        <f>Assumptions!E14/Assumptions!E16</f>
        <v>2714.2857142857142</v>
      </c>
      <c r="AJ7" s="11">
        <f>Assumptions!E14/Assumptions!E16</f>
        <v>2714.2857142857142</v>
      </c>
      <c r="AK7" s="11">
        <f>Assumptions!E14/Assumptions!E16</f>
        <v>2714.2857142857142</v>
      </c>
      <c r="AL7" s="11">
        <f>SUM(B7:M7)</f>
        <v>10500</v>
      </c>
      <c r="AM7" s="11">
        <f>SUM(N7:Y7)</f>
        <v>21428.571428571431</v>
      </c>
      <c r="AN7" s="11">
        <f>SUM(Z7:AK7)</f>
        <v>32571.428571428569</v>
      </c>
      <c r="AO7" t="s">
        <v>49</v>
      </c>
    </row>
    <row r="8" spans="1:41" ht="15" customHeight="1" x14ac:dyDescent="0.2">
      <c r="A8" s="3" t="s">
        <v>50</v>
      </c>
      <c r="B8" s="12">
        <f>0</f>
        <v>0</v>
      </c>
      <c r="C8" s="12">
        <f>0</f>
        <v>0</v>
      </c>
      <c r="D8" s="12">
        <f>0</f>
        <v>0</v>
      </c>
      <c r="E8" s="12">
        <f>MIN(Assumptions!E22,1*Assumptions!E21)</f>
        <v>2.5000000000000001E-2</v>
      </c>
      <c r="F8" s="12">
        <f>MIN(Assumptions!E22,2*Assumptions!E21)</f>
        <v>0.05</v>
      </c>
      <c r="G8" s="12">
        <f>MIN(Assumptions!E22,3*Assumptions!E21)</f>
        <v>7.5000000000000011E-2</v>
      </c>
      <c r="H8" s="12">
        <f>MIN(Assumptions!E22,4*Assumptions!E21)</f>
        <v>0.1</v>
      </c>
      <c r="I8" s="12">
        <f>MIN(Assumptions!E22,5*Assumptions!E21)</f>
        <v>0.125</v>
      </c>
      <c r="J8" s="12">
        <f>MIN(Assumptions!E22,6*Assumptions!E21)</f>
        <v>0.15000000000000002</v>
      </c>
      <c r="K8" s="12">
        <f>MIN(Assumptions!E22,7*Assumptions!E21)</f>
        <v>0.17500000000000002</v>
      </c>
      <c r="L8" s="12">
        <f>MIN(Assumptions!E22,8*Assumptions!E21)</f>
        <v>0.2</v>
      </c>
      <c r="M8" s="12">
        <f>MIN(Assumptions!E22,9*Assumptions!E21)</f>
        <v>0.22500000000000001</v>
      </c>
      <c r="N8" s="12">
        <f>MIN(Assumptions!E22,10*Assumptions!E21)</f>
        <v>0.25</v>
      </c>
      <c r="O8" s="12">
        <f>MIN(Assumptions!E22,11*Assumptions!E21)</f>
        <v>0.27500000000000002</v>
      </c>
      <c r="P8" s="12">
        <f>MIN(Assumptions!E22,12*Assumptions!E21)</f>
        <v>0.30000000000000004</v>
      </c>
      <c r="Q8" s="12">
        <f>MIN(Assumptions!E22,13*Assumptions!E21)</f>
        <v>0.32500000000000001</v>
      </c>
      <c r="R8" s="12">
        <f>MIN(Assumptions!E22,14*Assumptions!E21)</f>
        <v>0.35000000000000003</v>
      </c>
      <c r="S8" s="12">
        <f>MIN(Assumptions!E22,15*Assumptions!E21)</f>
        <v>0.375</v>
      </c>
      <c r="T8" s="12">
        <f>MIN(Assumptions!E22,16*Assumptions!E21)</f>
        <v>0.4</v>
      </c>
      <c r="U8" s="12">
        <f>MIN(Assumptions!E22,17*Assumptions!E21)</f>
        <v>0.42500000000000004</v>
      </c>
      <c r="V8" s="12">
        <f>MIN(Assumptions!E22,18*Assumptions!E21)</f>
        <v>0.45</v>
      </c>
      <c r="W8" s="12">
        <f>MIN(Assumptions!E22,19*Assumptions!E21)</f>
        <v>0.47500000000000003</v>
      </c>
      <c r="X8" s="12">
        <f>MIN(Assumptions!E22,20*Assumptions!E21)</f>
        <v>0.5</v>
      </c>
      <c r="Y8" s="12">
        <f>MIN(Assumptions!E22,21*Assumptions!E21)</f>
        <v>0.5</v>
      </c>
      <c r="Z8" s="12">
        <f>MIN(Assumptions!E22,22*Assumptions!E21)</f>
        <v>0.5</v>
      </c>
      <c r="AA8" s="12">
        <f>MIN(Assumptions!E22,23*Assumptions!E21)</f>
        <v>0.5</v>
      </c>
      <c r="AB8" s="12">
        <f>MIN(Assumptions!E22,24*Assumptions!E21)</f>
        <v>0.5</v>
      </c>
      <c r="AC8" s="12">
        <f>MIN(Assumptions!E22,25*Assumptions!E21)</f>
        <v>0.5</v>
      </c>
      <c r="AD8" s="12">
        <f>MIN(Assumptions!E22,26*Assumptions!E21)</f>
        <v>0.5</v>
      </c>
      <c r="AE8" s="12">
        <f>MIN(Assumptions!E22,27*Assumptions!E21)</f>
        <v>0.5</v>
      </c>
      <c r="AF8" s="12">
        <f>MIN(Assumptions!E22,28*Assumptions!E21)</f>
        <v>0.5</v>
      </c>
      <c r="AG8" s="12">
        <f>MIN(Assumptions!E22,29*Assumptions!E21)</f>
        <v>0.5</v>
      </c>
      <c r="AH8" s="12">
        <f>MIN(Assumptions!E22,30*Assumptions!E21)</f>
        <v>0.5</v>
      </c>
      <c r="AI8" s="12">
        <f>MIN(Assumptions!E22,31*Assumptions!E21)</f>
        <v>0.5</v>
      </c>
      <c r="AJ8" s="12">
        <f>MIN(Assumptions!E22,32*Assumptions!E21)</f>
        <v>0.5</v>
      </c>
      <c r="AK8" s="12">
        <f>MIN(Assumptions!E22,33*Assumptions!E21)</f>
        <v>0.5</v>
      </c>
      <c r="AL8" s="12">
        <f>M8</f>
        <v>0.22500000000000001</v>
      </c>
      <c r="AM8" s="12">
        <f>Y8</f>
        <v>0.5</v>
      </c>
      <c r="AN8" s="12">
        <f>AK8</f>
        <v>0.5</v>
      </c>
      <c r="AO8" t="s">
        <v>51</v>
      </c>
    </row>
    <row r="9" spans="1:41" ht="15" customHeight="1" x14ac:dyDescent="0.2">
      <c r="A9" s="3" t="s">
        <v>52</v>
      </c>
      <c r="B9" s="12">
        <f>Assumptions!E18*(1-B8*Assumptions!E23)</f>
        <v>7.0000000000000007E-2</v>
      </c>
      <c r="C9" s="12">
        <f>Assumptions!E18*(1-C8*Assumptions!E23)</f>
        <v>7.0000000000000007E-2</v>
      </c>
      <c r="D9" s="12">
        <f>Assumptions!E18*(1-D8*Assumptions!E23)</f>
        <v>7.0000000000000007E-2</v>
      </c>
      <c r="E9" s="12">
        <f>Assumptions!E18*(1-E8*Assumptions!E23)</f>
        <v>6.93E-2</v>
      </c>
      <c r="F9" s="12">
        <f>Assumptions!E18*(1-F8*Assumptions!E23)</f>
        <v>6.8600000000000008E-2</v>
      </c>
      <c r="G9" s="12">
        <f>Assumptions!E18*(1-G8*Assumptions!E23)</f>
        <v>6.7900000000000002E-2</v>
      </c>
      <c r="H9" s="12">
        <f>Assumptions!E18*(1-H8*Assumptions!E23)</f>
        <v>6.720000000000001E-2</v>
      </c>
      <c r="I9" s="12">
        <f>Assumptions!E18*(1-I8*Assumptions!E23)</f>
        <v>6.6500000000000004E-2</v>
      </c>
      <c r="J9" s="12">
        <f>Assumptions!E18*(1-J8*Assumptions!E23)</f>
        <v>6.5799999999999997E-2</v>
      </c>
      <c r="K9" s="12">
        <f>Assumptions!E18*(1-K8*Assumptions!E23)</f>
        <v>6.5100000000000005E-2</v>
      </c>
      <c r="L9" s="12">
        <f>Assumptions!E18*(1-L8*Assumptions!E23)</f>
        <v>6.4399999999999999E-2</v>
      </c>
      <c r="M9" s="12">
        <f>Assumptions!E18*(1-M8*Assumptions!E23)</f>
        <v>6.3700000000000007E-2</v>
      </c>
      <c r="N9" s="12">
        <f>Assumptions!E19*(1-N8*Assumptions!E23)</f>
        <v>5.3999999999999999E-2</v>
      </c>
      <c r="O9" s="12">
        <f>Assumptions!E19*(1-O8*Assumptions!E23)</f>
        <v>5.3399999999999996E-2</v>
      </c>
      <c r="P9" s="12">
        <f>Assumptions!E19*(1-P8*Assumptions!E23)</f>
        <v>5.28E-2</v>
      </c>
      <c r="Q9" s="12">
        <f>Assumptions!E19*(1-Q8*Assumptions!E23)</f>
        <v>5.2199999999999996E-2</v>
      </c>
      <c r="R9" s="12">
        <f>Assumptions!E19*(1-R8*Assumptions!E23)</f>
        <v>5.16E-2</v>
      </c>
      <c r="S9" s="12">
        <f>Assumptions!E19*(1-S8*Assumptions!E23)</f>
        <v>5.0999999999999997E-2</v>
      </c>
      <c r="T9" s="12">
        <f>Assumptions!E19*(1-T8*Assumptions!E23)</f>
        <v>5.0399999999999993E-2</v>
      </c>
      <c r="U9" s="12">
        <f>Assumptions!E19*(1-U8*Assumptions!E23)</f>
        <v>4.9799999999999997E-2</v>
      </c>
      <c r="V9" s="12">
        <f>Assumptions!E19*(1-V8*Assumptions!E23)</f>
        <v>4.9199999999999994E-2</v>
      </c>
      <c r="W9" s="12">
        <f>Assumptions!E19*(1-W8*Assumptions!E23)</f>
        <v>4.8599999999999997E-2</v>
      </c>
      <c r="X9" s="12">
        <f>Assumptions!E19*(1-X8*Assumptions!E23)</f>
        <v>4.8000000000000001E-2</v>
      </c>
      <c r="Y9" s="12">
        <f>Assumptions!E19*(1-Y8*Assumptions!E23)</f>
        <v>4.8000000000000001E-2</v>
      </c>
      <c r="Z9" s="12">
        <f>Assumptions!E20*(1-Z8*Assumptions!E23)</f>
        <v>4.0000000000000008E-2</v>
      </c>
      <c r="AA9" s="12">
        <f>Assumptions!E20*(1-AA8*Assumptions!E23)</f>
        <v>4.0000000000000008E-2</v>
      </c>
      <c r="AB9" s="12">
        <f>Assumptions!E20*(1-AB8*Assumptions!E23)</f>
        <v>4.0000000000000008E-2</v>
      </c>
      <c r="AC9" s="12">
        <f>Assumptions!E20*(1-AC8*Assumptions!E23)</f>
        <v>4.0000000000000008E-2</v>
      </c>
      <c r="AD9" s="12">
        <f>Assumptions!E20*(1-AD8*Assumptions!E23)</f>
        <v>4.0000000000000008E-2</v>
      </c>
      <c r="AE9" s="12">
        <f>Assumptions!E20*(1-AE8*Assumptions!E23)</f>
        <v>4.0000000000000008E-2</v>
      </c>
      <c r="AF9" s="12">
        <f>Assumptions!E20*(1-AF8*Assumptions!E23)</f>
        <v>4.0000000000000008E-2</v>
      </c>
      <c r="AG9" s="12">
        <f>Assumptions!E20*(1-AG8*Assumptions!E23)</f>
        <v>4.0000000000000008E-2</v>
      </c>
      <c r="AH9" s="12">
        <f>Assumptions!E20*(1-AH8*Assumptions!E23)</f>
        <v>4.0000000000000008E-2</v>
      </c>
      <c r="AI9" s="12">
        <f>Assumptions!E20*(1-AI8*Assumptions!E23)</f>
        <v>4.0000000000000008E-2</v>
      </c>
      <c r="AJ9" s="12">
        <f>Assumptions!E20*(1-AJ8*Assumptions!E23)</f>
        <v>4.0000000000000008E-2</v>
      </c>
      <c r="AK9" s="12">
        <f>Assumptions!E20*(1-AK8*Assumptions!E23)</f>
        <v>4.0000000000000008E-2</v>
      </c>
      <c r="AL9" s="12">
        <f>AVERAGE(B9:M9)</f>
        <v>6.7375000000000004E-2</v>
      </c>
      <c r="AM9" s="12">
        <f>AVERAGE(N9:Y9)</f>
        <v>5.075000000000001E-2</v>
      </c>
      <c r="AN9" s="12">
        <f>AVERAGE(Z9:AK9)</f>
        <v>4.0000000000000015E-2</v>
      </c>
      <c r="AO9" t="s">
        <v>53</v>
      </c>
    </row>
    <row r="10" spans="1:41" ht="15" customHeight="1" x14ac:dyDescent="0.2">
      <c r="A10" s="3" t="s">
        <v>54</v>
      </c>
      <c r="B10" s="11">
        <f>0</f>
        <v>0</v>
      </c>
      <c r="C10" s="11">
        <f>0</f>
        <v>0</v>
      </c>
      <c r="D10" s="11">
        <f>0</f>
        <v>0</v>
      </c>
      <c r="E10" s="11">
        <f>0</f>
        <v>0</v>
      </c>
      <c r="F10" s="11">
        <f>0</f>
        <v>0</v>
      </c>
      <c r="G10" s="11">
        <f>0</f>
        <v>0</v>
      </c>
      <c r="H10" s="11">
        <f>0</f>
        <v>0</v>
      </c>
      <c r="I10" s="11">
        <f>0</f>
        <v>0</v>
      </c>
      <c r="J10" s="11">
        <f>0</f>
        <v>0</v>
      </c>
      <c r="K10" s="11">
        <f>0</f>
        <v>0</v>
      </c>
      <c r="L10" s="11">
        <f>0</f>
        <v>0</v>
      </c>
      <c r="M10" s="11">
        <f>L11*Assumptions!E26</f>
        <v>133.12741233292161</v>
      </c>
      <c r="N10" s="11">
        <f>M11*Assumptions!E26</f>
        <v>146.23552353825539</v>
      </c>
      <c r="O10" s="11">
        <f>N11*Assumptions!E26</f>
        <v>170.23327296695172</v>
      </c>
      <c r="P10" s="11">
        <f>O11*Assumptions!E26</f>
        <v>194.13777490227253</v>
      </c>
      <c r="Q10" s="11">
        <f>P11*Assumptions!E26</f>
        <v>218.27624027426796</v>
      </c>
      <c r="R10" s="11">
        <f>Q11*Assumptions!E26</f>
        <v>243.01214188313767</v>
      </c>
      <c r="S10" s="11">
        <f>R11*Assumptions!E26</f>
        <v>268.75526832293843</v>
      </c>
      <c r="T10" s="11">
        <f>S11*Assumptions!E26</f>
        <v>295.97355986354296</v>
      </c>
      <c r="U10" s="11">
        <f>T11*Assumptions!E26</f>
        <v>325.20711329122662</v>
      </c>
      <c r="V10" s="11">
        <f>U11*Assumptions!E26</f>
        <v>357.08481858412341</v>
      </c>
      <c r="W10" s="11">
        <f>V11*Assumptions!E26</f>
        <v>392.34418185488181</v>
      </c>
      <c r="X10" s="11">
        <f>W11*Assumptions!E26</f>
        <v>431.85499938039936</v>
      </c>
      <c r="Y10" s="11">
        <f>X11*Assumptions!E26</f>
        <v>476.64768055207696</v>
      </c>
      <c r="Z10" s="11">
        <f>Y11*Assumptions!E26</f>
        <v>527.66118917932454</v>
      </c>
      <c r="AA10" s="11">
        <f>Z11*Assumptions!E26</f>
        <v>604.46202734832457</v>
      </c>
      <c r="AB10" s="11">
        <f>AA11*Assumptions!E26</f>
        <v>690.06040298994492</v>
      </c>
      <c r="AC10" s="11">
        <f>AB11*Assumptions!E26</f>
        <v>786.5767682575746</v>
      </c>
      <c r="AD10" s="11">
        <f>AC11*Assumptions!E26</f>
        <v>896.53581377904288</v>
      </c>
      <c r="AE10" s="11">
        <f>AD11*Assumptions!E26</f>
        <v>1022.9484082091001</v>
      </c>
      <c r="AF10" s="11">
        <f>AE11*Assumptions!E26</f>
        <v>1169.409865640228</v>
      </c>
      <c r="AG10" s="11">
        <f>AF11*Assumptions!E26</f>
        <v>1340.2178097463122</v>
      </c>
      <c r="AH10" s="11">
        <f>AG11*Assumptions!E26</f>
        <v>1540.5135571269641</v>
      </c>
      <c r="AI10" s="11">
        <f>AH11*Assumptions!E26</f>
        <v>1776.4517266421628</v>
      </c>
      <c r="AJ10" s="11">
        <f>AI11*Assumptions!E26</f>
        <v>2055.4037227226049</v>
      </c>
      <c r="AK10" s="11">
        <f>AJ11*Assumptions!E26</f>
        <v>2386.201870084918</v>
      </c>
      <c r="AL10" s="11">
        <f>SUM(B10:M10)</f>
        <v>133.12741233292161</v>
      </c>
      <c r="AM10" s="11">
        <f>SUM(N10:Y10)</f>
        <v>3519.7625754140749</v>
      </c>
      <c r="AN10" s="11">
        <f>SUM(Z10:AK10)</f>
        <v>14796.443161726504</v>
      </c>
      <c r="AO10" t="s">
        <v>55</v>
      </c>
    </row>
    <row r="11" spans="1:41" ht="15" customHeight="1" x14ac:dyDescent="0.2">
      <c r="A11" s="13" t="s">
        <v>56</v>
      </c>
      <c r="B11" s="11">
        <f>B6+B7</f>
        <v>54.6</v>
      </c>
      <c r="C11" s="11">
        <f t="shared" ref="C11:AK11" si="0">B11*(1-C9)-C10+C6+C7</f>
        <v>116.298</v>
      </c>
      <c r="D11" s="11">
        <f t="shared" si="0"/>
        <v>186.78113999999999</v>
      </c>
      <c r="E11" s="11">
        <f t="shared" si="0"/>
        <v>1434.8526736646668</v>
      </c>
      <c r="F11" s="11">
        <f t="shared" si="0"/>
        <v>2616.3070069179375</v>
      </c>
      <c r="G11" s="11">
        <f t="shared" si="0"/>
        <v>3741.1886998148766</v>
      </c>
      <c r="H11" s="11">
        <f t="shared" si="0"/>
        <v>4819.4822122539836</v>
      </c>
      <c r="I11" s="11">
        <f t="shared" si="0"/>
        <v>5861.29498348576</v>
      </c>
      <c r="J11" s="11">
        <f t="shared" si="0"/>
        <v>6877.0584462550632</v>
      </c>
      <c r="K11" s="11">
        <f t="shared" si="0"/>
        <v>7877.7526152897253</v>
      </c>
      <c r="L11" s="11">
        <f t="shared" si="0"/>
        <v>8875.1608221947736</v>
      </c>
      <c r="M11" s="11">
        <f t="shared" si="0"/>
        <v>9749.0349025503601</v>
      </c>
      <c r="N11" s="11">
        <f t="shared" si="0"/>
        <v>11348.884864463449</v>
      </c>
      <c r="O11" s="11">
        <f t="shared" si="0"/>
        <v>12942.518326818168</v>
      </c>
      <c r="P11" s="11">
        <f t="shared" si="0"/>
        <v>14551.749351617864</v>
      </c>
      <c r="Q11" s="11">
        <f t="shared" si="0"/>
        <v>16200.809458875845</v>
      </c>
      <c r="R11" s="11">
        <f t="shared" si="0"/>
        <v>17917.017888195896</v>
      </c>
      <c r="S11" s="11">
        <f t="shared" si="0"/>
        <v>19731.570657569533</v>
      </c>
      <c r="T11" s="11">
        <f t="shared" si="0"/>
        <v>21680.474219415108</v>
      </c>
      <c r="U11" s="11">
        <f t="shared" si="0"/>
        <v>23805.654572274896</v>
      </c>
      <c r="V11" s="11">
        <f t="shared" si="0"/>
        <v>26156.278790325454</v>
      </c>
      <c r="W11" s="11">
        <f t="shared" si="0"/>
        <v>28790.333292026626</v>
      </c>
      <c r="X11" s="11">
        <f t="shared" si="0"/>
        <v>31776.512036805132</v>
      </c>
      <c r="Y11" s="11">
        <f t="shared" si="0"/>
        <v>35177.412611954969</v>
      </c>
      <c r="Z11" s="11">
        <f t="shared" si="0"/>
        <v>40297.468489888306</v>
      </c>
      <c r="AA11" s="11">
        <f t="shared" si="0"/>
        <v>46004.026865996333</v>
      </c>
      <c r="AB11" s="11">
        <f t="shared" si="0"/>
        <v>52438.451217171641</v>
      </c>
      <c r="AC11" s="11">
        <f t="shared" si="0"/>
        <v>59769.054251936192</v>
      </c>
      <c r="AD11" s="11">
        <f t="shared" si="0"/>
        <v>68196.560547273344</v>
      </c>
      <c r="AE11" s="11">
        <f t="shared" si="0"/>
        <v>77960.657709348539</v>
      </c>
      <c r="AF11" s="11">
        <f t="shared" si="0"/>
        <v>89347.85398308748</v>
      </c>
      <c r="AG11" s="11">
        <f t="shared" si="0"/>
        <v>102700.90380846428</v>
      </c>
      <c r="AH11" s="11">
        <f t="shared" si="0"/>
        <v>118430.11510947753</v>
      </c>
      <c r="AI11" s="11">
        <f t="shared" si="0"/>
        <v>137026.91484817368</v>
      </c>
      <c r="AJ11" s="11">
        <f t="shared" si="0"/>
        <v>159080.12467232786</v>
      </c>
      <c r="AK11" s="11">
        <f t="shared" si="0"/>
        <v>185295.48884145721</v>
      </c>
      <c r="AL11" s="11">
        <f>M11</f>
        <v>9749.0349025503601</v>
      </c>
      <c r="AM11" s="11">
        <f>Y11</f>
        <v>35177.412611954969</v>
      </c>
      <c r="AN11" s="11">
        <f>AK11</f>
        <v>185295.48884145721</v>
      </c>
      <c r="AO11" t="s">
        <v>57</v>
      </c>
    </row>
    <row r="12" spans="1:41" ht="27.75" customHeight="1" x14ac:dyDescent="0.2">
      <c r="A12" s="13" t="s">
        <v>58</v>
      </c>
      <c r="B12" s="11">
        <f>0</f>
        <v>0</v>
      </c>
      <c r="C12" s="11">
        <f>0</f>
        <v>0</v>
      </c>
      <c r="D12" s="11">
        <f>0</f>
        <v>0</v>
      </c>
      <c r="E12" s="11">
        <f>0</f>
        <v>0</v>
      </c>
      <c r="F12" s="11">
        <f>0</f>
        <v>0</v>
      </c>
      <c r="G12" s="11">
        <f>0</f>
        <v>0</v>
      </c>
      <c r="H12" s="11">
        <f>0</f>
        <v>0</v>
      </c>
      <c r="I12" s="11">
        <f>0</f>
        <v>0</v>
      </c>
      <c r="J12" s="11">
        <f>0</f>
        <v>0</v>
      </c>
      <c r="K12" s="11">
        <f>0</f>
        <v>0</v>
      </c>
      <c r="L12" s="11">
        <f>0</f>
        <v>0</v>
      </c>
      <c r="M12" s="11">
        <f>M10</f>
        <v>133.12741233292161</v>
      </c>
      <c r="N12" s="11">
        <f>M12*(1-Assumptions!E27)+N10</f>
        <v>275.36911350118936</v>
      </c>
      <c r="O12" s="11">
        <f>N12*(1-Assumptions!E27)+O10</f>
        <v>437.34131306310542</v>
      </c>
      <c r="P12" s="11">
        <f>O12*(1-Assumptions!E27)+P10</f>
        <v>618.35884857348481</v>
      </c>
      <c r="Q12" s="11">
        <f>P12*(1-Assumptions!E27)+Q10</f>
        <v>818.08432339054821</v>
      </c>
      <c r="R12" s="11">
        <f>Q12*(1-Assumptions!E27)+R10</f>
        <v>1036.5539355719693</v>
      </c>
      <c r="S12" s="11">
        <f>R12*(1-Assumptions!E27)+S10</f>
        <v>1274.2125858277486</v>
      </c>
      <c r="T12" s="11">
        <f>S12*(1-Assumptions!E27)+T10</f>
        <v>1531.9597681164591</v>
      </c>
      <c r="U12" s="11">
        <f>T12*(1-Assumptions!E27)+U10</f>
        <v>1811.208088364192</v>
      </c>
      <c r="V12" s="11">
        <f>U12*(1-Assumptions!E27)+V10</f>
        <v>2113.9566642973896</v>
      </c>
      <c r="W12" s="11">
        <f>V12*(1-Assumptions!E27)+W10</f>
        <v>2442.8821462233495</v>
      </c>
      <c r="X12" s="11">
        <f>W12*(1-Assumptions!E27)+X10</f>
        <v>2801.4506812170484</v>
      </c>
      <c r="Y12" s="11">
        <f>X12*(1-Assumptions!E27)+Y10</f>
        <v>3194.0548413326137</v>
      </c>
      <c r="Z12" s="11">
        <f>Y12*(1-Assumptions!E27)+Z10</f>
        <v>3625.8943852719599</v>
      </c>
      <c r="AA12" s="11">
        <f>Z12*(1-Assumptions!E27)+AA10</f>
        <v>4121.5795810621257</v>
      </c>
      <c r="AB12" s="11">
        <f>AA12*(1-Assumptions!E27)+AB10</f>
        <v>4687.9925966202063</v>
      </c>
      <c r="AC12" s="11">
        <f>AB12*(1-Assumptions!E27)+AC10</f>
        <v>5333.929586979174</v>
      </c>
      <c r="AD12" s="11">
        <f>AC12*(1-Assumptions!E27)+AD10</f>
        <v>6070.4475131488416</v>
      </c>
      <c r="AE12" s="11">
        <f>AD12*(1-Assumptions!E27)+AE10</f>
        <v>6911.2824959634763</v>
      </c>
      <c r="AF12" s="11">
        <f>AE12*(1-Assumptions!E27)+AF10</f>
        <v>7873.3538867247989</v>
      </c>
      <c r="AG12" s="11">
        <f>AF12*(1-Assumptions!E27)+AG10</f>
        <v>8977.3710798693664</v>
      </c>
      <c r="AH12" s="11">
        <f>AG12*(1-Assumptions!E27)+AH10</f>
        <v>10248.56350460025</v>
      </c>
      <c r="AI12" s="11">
        <f>AH12*(1-Assumptions!E27)+AI10</f>
        <v>11717.558326104405</v>
      </c>
      <c r="AJ12" s="11">
        <f>AI12*(1-Assumptions!E27)+AJ10</f>
        <v>13421.435299043878</v>
      </c>
      <c r="AK12" s="11">
        <f>AJ12*(1-Assumptions!E27)+AK10</f>
        <v>15404.99411015748</v>
      </c>
      <c r="AL12" s="11">
        <f>M12</f>
        <v>133.12741233292161</v>
      </c>
      <c r="AM12" s="11">
        <f>Y12</f>
        <v>3194.0548413326137</v>
      </c>
      <c r="AN12" s="11">
        <f>AK12</f>
        <v>15404.99411015748</v>
      </c>
      <c r="AO12" t="s">
        <v>59</v>
      </c>
    </row>
    <row r="13" spans="1:41" ht="15" customHeight="1" x14ac:dyDescent="0.2">
      <c r="A13" s="3" t="s">
        <v>60</v>
      </c>
      <c r="B13" s="14">
        <f>0</f>
        <v>0</v>
      </c>
      <c r="C13" s="14">
        <f>0</f>
        <v>0</v>
      </c>
      <c r="D13" s="14">
        <f>0</f>
        <v>0</v>
      </c>
      <c r="E13" s="14">
        <f>0</f>
        <v>0</v>
      </c>
      <c r="F13" s="14">
        <f>0</f>
        <v>0</v>
      </c>
      <c r="G13" s="14">
        <f>Assumptions!E29</f>
        <v>2</v>
      </c>
      <c r="H13" s="14">
        <f>G13+Assumptions!E29</f>
        <v>4</v>
      </c>
      <c r="I13" s="14">
        <f>H13+Assumptions!E29</f>
        <v>6</v>
      </c>
      <c r="J13" s="14">
        <f>I13+Assumptions!E29</f>
        <v>8</v>
      </c>
      <c r="K13" s="14">
        <f>J13+Assumptions!E29</f>
        <v>10</v>
      </c>
      <c r="L13" s="14">
        <f>K13+Assumptions!E29</f>
        <v>12</v>
      </c>
      <c r="M13" s="14">
        <f>L13+Assumptions!E29</f>
        <v>14</v>
      </c>
      <c r="N13" s="14">
        <f>M13+Assumptions!E30</f>
        <v>19.3</v>
      </c>
      <c r="O13" s="14">
        <f>N13+Assumptions!E30</f>
        <v>24.6</v>
      </c>
      <c r="P13" s="14">
        <f>O13+Assumptions!E30</f>
        <v>29.900000000000002</v>
      </c>
      <c r="Q13" s="14">
        <f>P13+Assumptions!E30</f>
        <v>35.200000000000003</v>
      </c>
      <c r="R13" s="14">
        <f>Q13+Assumptions!E30</f>
        <v>40.5</v>
      </c>
      <c r="S13" s="14">
        <f>R13+Assumptions!E30</f>
        <v>45.8</v>
      </c>
      <c r="T13" s="14">
        <f>S13+Assumptions!E30</f>
        <v>51.099999999999994</v>
      </c>
      <c r="U13" s="14">
        <f>T13+Assumptions!E30</f>
        <v>56.399999999999991</v>
      </c>
      <c r="V13" s="14">
        <f>U13+Assumptions!E30</f>
        <v>61.699999999999989</v>
      </c>
      <c r="W13" s="14">
        <f>V13+Assumptions!E30</f>
        <v>66.999999999999986</v>
      </c>
      <c r="X13" s="14">
        <f>W13+Assumptions!E30</f>
        <v>72.299999999999983</v>
      </c>
      <c r="Y13" s="14">
        <f>X13+Assumptions!E30</f>
        <v>77.59999999999998</v>
      </c>
      <c r="Z13" s="14">
        <f>Y13+Assumptions!E31</f>
        <v>81.199999999999974</v>
      </c>
      <c r="AA13" s="14">
        <f>Z13+Assumptions!E31</f>
        <v>84.799999999999969</v>
      </c>
      <c r="AB13" s="14">
        <f>AA13+Assumptions!E31</f>
        <v>88.399999999999963</v>
      </c>
      <c r="AC13" s="14">
        <f>AB13+Assumptions!E31</f>
        <v>91.999999999999957</v>
      </c>
      <c r="AD13" s="14">
        <f>AC13+Assumptions!E31</f>
        <v>95.599999999999952</v>
      </c>
      <c r="AE13" s="14">
        <f>AD13+Assumptions!E31</f>
        <v>99.199999999999946</v>
      </c>
      <c r="AF13" s="14">
        <f>AE13+Assumptions!E31</f>
        <v>102.79999999999994</v>
      </c>
      <c r="AG13" s="14">
        <f>AF13+Assumptions!E31</f>
        <v>106.39999999999993</v>
      </c>
      <c r="AH13" s="14">
        <f>AG13+Assumptions!E31</f>
        <v>109.99999999999993</v>
      </c>
      <c r="AI13" s="14">
        <f>AH13+Assumptions!E31</f>
        <v>113.59999999999992</v>
      </c>
      <c r="AJ13" s="14">
        <f>AI13+Assumptions!E31</f>
        <v>117.19999999999992</v>
      </c>
      <c r="AK13" s="14">
        <f>AJ13+Assumptions!E31</f>
        <v>120.79999999999991</v>
      </c>
      <c r="AL13" s="14">
        <f>M13</f>
        <v>14</v>
      </c>
      <c r="AM13" s="14">
        <f>Y13</f>
        <v>77.59999999999998</v>
      </c>
      <c r="AN13" s="14">
        <f>AK13</f>
        <v>120.79999999999991</v>
      </c>
    </row>
    <row r="14" spans="1:41" ht="15" customHeight="1" x14ac:dyDescent="0.2">
      <c r="A14" s="13" t="s">
        <v>61</v>
      </c>
      <c r="B14" s="11">
        <f>0</f>
        <v>0</v>
      </c>
      <c r="C14" s="11">
        <f>0</f>
        <v>0</v>
      </c>
      <c r="D14" s="11">
        <f>0</f>
        <v>0</v>
      </c>
      <c r="E14" s="11">
        <f>0</f>
        <v>0</v>
      </c>
      <c r="F14" s="11">
        <f>0</f>
        <v>0</v>
      </c>
      <c r="G14" s="11">
        <f>Assumptions!E29*Assumptions!E32</f>
        <v>350</v>
      </c>
      <c r="H14" s="11">
        <f>G14*(1-(1-(1-Assumptions!E33)^(1/12)))+Assumptions!E29*Assumptions!E32</f>
        <v>695.2918185458459</v>
      </c>
      <c r="I14" s="11">
        <f>H14*(1-(1-(1-Assumptions!E33)^(1/12)))+Assumptions!E29*Assumptions!E32</f>
        <v>1035.9387898449813</v>
      </c>
      <c r="J14" s="11">
        <f>I14*(1-(1-(1-Assumptions!E33)^(1/12)))+Assumptions!E29*Assumptions!E32</f>
        <v>1372.003396136447</v>
      </c>
      <c r="K14" s="11">
        <f>J14*(1-(1-(1-Assumptions!E33)^(1/12)))+Assumptions!E29*Assumptions!E32</f>
        <v>1703.5472791515153</v>
      </c>
      <c r="L14" s="11">
        <f>K14*(1-(1-(1-Assumptions!E33)^(1/12)))+Assumptions!E29*Assumptions!E32</f>
        <v>2030.6312514201556</v>
      </c>
      <c r="M14" s="11">
        <f>L14*(1-(1-(1-Assumptions!E33)^(1/12)))+Assumptions!E29*Assumptions!E32</f>
        <v>2353.3153074254069</v>
      </c>
      <c r="N14" s="11">
        <f>M14*(1-(1-(1-Assumptions!E33)^(1/12)))+Assumptions!E30*Assumptions!E32</f>
        <v>3249.1586346077002</v>
      </c>
      <c r="O14" s="11">
        <f>N14*(1-(1-(1-Assumptions!E33)^(1/12)))+Assumptions!E30*Assumptions!E32</f>
        <v>4132.9511248218005</v>
      </c>
      <c r="P14" s="11">
        <f>O14*(1-(1-(1-Assumptions!E33)^(1/12)))+Assumptions!E30*Assumptions!E32</f>
        <v>5004.854885288054</v>
      </c>
      <c r="Q14" s="11">
        <f>P14*(1-(1-(1-Assumptions!E33)^(1/12)))+Assumptions!E30*Assumptions!E32</f>
        <v>5865.0298425690662</v>
      </c>
      <c r="R14" s="11">
        <f>Q14*(1-(1-(1-Assumptions!E33)^(1/12)))+Assumptions!E30*Assumptions!E32</f>
        <v>6713.6337719037974</v>
      </c>
      <c r="S14" s="11">
        <f>R14*(1-(1-(1-Assumptions!E33)^(1/12)))+Assumptions!E30*Assumptions!E32</f>
        <v>7550.8223261470539</v>
      </c>
      <c r="T14" s="11">
        <f>S14*(1-(1-(1-Assumptions!E33)^(1/12)))+Assumptions!E30*Assumptions!E32</f>
        <v>8376.749064319687</v>
      </c>
      <c r="U14" s="11">
        <f>T14*(1-(1-(1-Assumptions!E33)^(1/12)))+Assumptions!E30*Assumptions!E32</f>
        <v>9191.5654797747356</v>
      </c>
      <c r="V14" s="11">
        <f>U14*(1-(1-(1-Assumptions!E33)^(1/12)))+Assumptions!E30*Assumptions!E32</f>
        <v>9995.421027984683</v>
      </c>
      <c r="W14" s="11">
        <f>V14*(1-(1-(1-Assumptions!E33)^(1/12)))+Assumptions!E30*Assumptions!E32</f>
        <v>10788.463153954912</v>
      </c>
      <c r="X14" s="11">
        <f>W14*(1-(1-(1-Assumptions!E33)^(1/12)))+Assumptions!E30*Assumptions!E32</f>
        <v>11570.83731926841</v>
      </c>
      <c r="Y14" s="11">
        <f>X14*(1-(1-(1-Assumptions!E33)^(1/12)))+Assumptions!E30*Assumptions!E32</f>
        <v>12342.687028766657</v>
      </c>
      <c r="Z14" s="11">
        <f>Y14*(1-(1-(1-Assumptions!E33)^(1/12)))+Assumptions!E31*Assumptions!E32</f>
        <v>12806.653856871606</v>
      </c>
      <c r="AA14" s="11">
        <f>Z14*(1-(1-(1-Assumptions!E33)^(1/12)))+Assumptions!E31*Assumptions!E32</f>
        <v>13264.379427789623</v>
      </c>
      <c r="AB14" s="11">
        <f>AA14*(1-(1-(1-Assumptions!E33)^(1/12)))+Assumptions!E31*Assumptions!E32</f>
        <v>13715.947698581673</v>
      </c>
      <c r="AC14" s="11">
        <f>AB14*(1-(1-(1-Assumptions!E33)^(1/12)))+Assumptions!E31*Assumptions!E32</f>
        <v>14161.441496922787</v>
      </c>
      <c r="AD14" s="11">
        <f>AC14*(1-(1-(1-Assumptions!E33)^(1/12)))+Assumptions!E31*Assumptions!E32</f>
        <v>14600.9425362945</v>
      </c>
      <c r="AE14" s="11">
        <f>AD14*(1-(1-(1-Assumptions!E33)^(1/12)))+Assumptions!E31*Assumptions!E32</f>
        <v>15034.531430972924</v>
      </c>
      <c r="AF14" s="11">
        <f>AE14*(1-(1-(1-Assumptions!E33)^(1/12)))+Assumptions!E31*Assumptions!E32</f>
        <v>15462.287710815199</v>
      </c>
      <c r="AG14" s="11">
        <f>AF14*(1-(1-(1-Assumptions!E33)^(1/12)))+Assumptions!E31*Assumptions!E32</f>
        <v>15884.289835847041</v>
      </c>
      <c r="AH14" s="11">
        <f>AG14*(1-(1-(1-Assumptions!E33)^(1/12)))+Assumptions!E31*Assumptions!E32</f>
        <v>16300.615210654059</v>
      </c>
      <c r="AI14" s="11">
        <f>AH14*(1-(1-(1-Assumptions!E33)^(1/12)))+Assumptions!E31*Assumptions!E32</f>
        <v>16711.340198579477</v>
      </c>
      <c r="AJ14" s="11">
        <f>AI14*(1-(1-(1-Assumptions!E33)^(1/12)))+Assumptions!E31*Assumptions!E32</f>
        <v>17116.540135730873</v>
      </c>
      <c r="AK14" s="11">
        <f>AJ14*(1-(1-(1-Assumptions!E33)^(1/12)))+Assumptions!E31*Assumptions!E32</f>
        <v>17516.289344798493</v>
      </c>
      <c r="AL14" s="11">
        <f>M14</f>
        <v>2353.3153074254069</v>
      </c>
      <c r="AM14" s="11">
        <f>Y14</f>
        <v>12342.687028766657</v>
      </c>
      <c r="AN14" s="11">
        <f>AK14</f>
        <v>17516.289344798493</v>
      </c>
      <c r="AO14" t="s">
        <v>62</v>
      </c>
    </row>
    <row r="15" spans="1:41" ht="15" customHeight="1" x14ac:dyDescent="0.2">
      <c r="A15" s="13" t="s">
        <v>63</v>
      </c>
      <c r="B15" s="15">
        <f t="shared" ref="B15:AK15" si="1">B11+B12+B14</f>
        <v>54.6</v>
      </c>
      <c r="C15" s="15">
        <f t="shared" si="1"/>
        <v>116.298</v>
      </c>
      <c r="D15" s="15">
        <f t="shared" si="1"/>
        <v>186.78113999999999</v>
      </c>
      <c r="E15" s="15">
        <f t="shared" si="1"/>
        <v>1434.8526736646668</v>
      </c>
      <c r="F15" s="15">
        <f t="shared" si="1"/>
        <v>2616.3070069179375</v>
      </c>
      <c r="G15" s="15">
        <f t="shared" si="1"/>
        <v>4091.1886998148766</v>
      </c>
      <c r="H15" s="15">
        <f t="shared" si="1"/>
        <v>5514.7740307998292</v>
      </c>
      <c r="I15" s="15">
        <f t="shared" si="1"/>
        <v>6897.2337733307413</v>
      </c>
      <c r="J15" s="15">
        <f t="shared" si="1"/>
        <v>8249.0618423915112</v>
      </c>
      <c r="K15" s="15">
        <f t="shared" si="1"/>
        <v>9581.2998944412411</v>
      </c>
      <c r="L15" s="15">
        <f t="shared" si="1"/>
        <v>10905.79207361493</v>
      </c>
      <c r="M15" s="15">
        <f t="shared" si="1"/>
        <v>12235.477622308688</v>
      </c>
      <c r="N15" s="15">
        <f t="shared" si="1"/>
        <v>14873.412612572338</v>
      </c>
      <c r="O15" s="15">
        <f t="shared" si="1"/>
        <v>17512.810764703074</v>
      </c>
      <c r="P15" s="15">
        <f t="shared" si="1"/>
        <v>20174.963085479401</v>
      </c>
      <c r="Q15" s="15">
        <f t="shared" si="1"/>
        <v>22883.923624835461</v>
      </c>
      <c r="R15" s="15">
        <f t="shared" si="1"/>
        <v>25667.205595671665</v>
      </c>
      <c r="S15" s="15">
        <f t="shared" si="1"/>
        <v>28556.605569544336</v>
      </c>
      <c r="T15" s="15">
        <f t="shared" si="1"/>
        <v>31589.183051851254</v>
      </c>
      <c r="U15" s="15">
        <f t="shared" si="1"/>
        <v>34808.428140413824</v>
      </c>
      <c r="V15" s="15">
        <f t="shared" si="1"/>
        <v>38265.656482607526</v>
      </c>
      <c r="W15" s="15">
        <f t="shared" si="1"/>
        <v>42021.678592204888</v>
      </c>
      <c r="X15" s="15">
        <f t="shared" si="1"/>
        <v>46148.800037290588</v>
      </c>
      <c r="Y15" s="15">
        <f t="shared" si="1"/>
        <v>50714.154482054233</v>
      </c>
      <c r="Z15" s="15">
        <f t="shared" si="1"/>
        <v>56730.016732031872</v>
      </c>
      <c r="AA15" s="15">
        <f t="shared" si="1"/>
        <v>63389.985874848084</v>
      </c>
      <c r="AB15" s="15">
        <f t="shared" si="1"/>
        <v>70842.391512373521</v>
      </c>
      <c r="AC15" s="15">
        <f t="shared" si="1"/>
        <v>79264.425335838154</v>
      </c>
      <c r="AD15" s="15">
        <f t="shared" si="1"/>
        <v>88867.950596716692</v>
      </c>
      <c r="AE15" s="15">
        <f t="shared" si="1"/>
        <v>99906.471636284943</v>
      </c>
      <c r="AF15" s="15">
        <f t="shared" si="1"/>
        <v>112683.49558062748</v>
      </c>
      <c r="AG15" s="15">
        <f t="shared" si="1"/>
        <v>127562.56472418069</v>
      </c>
      <c r="AH15" s="15">
        <f t="shared" si="1"/>
        <v>144979.29382473184</v>
      </c>
      <c r="AI15" s="15">
        <f t="shared" si="1"/>
        <v>165455.81337285755</v>
      </c>
      <c r="AJ15" s="15">
        <f t="shared" si="1"/>
        <v>189618.1001071026</v>
      </c>
      <c r="AK15" s="15">
        <f t="shared" si="1"/>
        <v>218216.77229641317</v>
      </c>
      <c r="AL15" s="15">
        <f>M15</f>
        <v>12235.477622308688</v>
      </c>
      <c r="AM15" s="15">
        <f>Y15</f>
        <v>50714.154482054233</v>
      </c>
      <c r="AN15" s="15">
        <f>AK15</f>
        <v>218216.77229641317</v>
      </c>
      <c r="AO15" t="s">
        <v>64</v>
      </c>
    </row>
    <row r="17" spans="1:41" ht="15" customHeight="1" x14ac:dyDescent="0.2">
      <c r="A17" s="30" t="s">
        <v>65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</row>
    <row r="18" spans="1:41" ht="15" customHeight="1" x14ac:dyDescent="0.2">
      <c r="A18" s="3" t="s">
        <v>66</v>
      </c>
      <c r="B18" s="16">
        <f>B11*Assumptions!E4</f>
        <v>272.45400000000001</v>
      </c>
      <c r="C18" s="16">
        <f>(B11+C11)/2*Assumptions!E4</f>
        <v>426.39051000000001</v>
      </c>
      <c r="D18" s="16">
        <f>(C11+D11)/2*Assumptions!E4</f>
        <v>756.18245430000002</v>
      </c>
      <c r="E18" s="16">
        <f>(D11+E11)/2*Assumptions!E4</f>
        <v>4045.9763650933437</v>
      </c>
      <c r="F18" s="16">
        <f>(E11+F11)/2*Assumptions!E4</f>
        <v>10107.643403053598</v>
      </c>
      <c r="G18" s="16">
        <f>(F11+G11)/2*Assumptions!E4</f>
        <v>15861.951788298373</v>
      </c>
      <c r="H18" s="16">
        <f>(G11+H11)/2*Assumptions!E4</f>
        <v>21358.87392561181</v>
      </c>
      <c r="I18" s="16">
        <f>(H11+I11)/2*Assumptions!E4</f>
        <v>26648.539103370662</v>
      </c>
      <c r="J18" s="16">
        <f>(I11+J11)/2*Assumptions!E4</f>
        <v>31782.191807203351</v>
      </c>
      <c r="K18" s="16">
        <f>(J11+K11)/2*Assumptions!E4</f>
        <v>36813.253598554249</v>
      </c>
      <c r="L18" s="16">
        <f>(K11+L11)/2*Assumptions!E4</f>
        <v>41798.519026523827</v>
      </c>
      <c r="M18" s="16">
        <f>(L11+M11)/2*Assumptions!E4</f>
        <v>46467.368333239116</v>
      </c>
      <c r="N18" s="16">
        <f>(M11+N11)/2*Assumptions!E4</f>
        <v>52639.309818699454</v>
      </c>
      <c r="O18" s="16">
        <f>(N11+O11)/2*Assumptions!E4</f>
        <v>60607.050962247638</v>
      </c>
      <c r="P18" s="16">
        <f>(O11+P11)/2*Assumptions!E4</f>
        <v>68598.197857697902</v>
      </c>
      <c r="Q18" s="16">
        <f>(P11+Q11)/2*Assumptions!E4</f>
        <v>76727.634232181808</v>
      </c>
      <c r="R18" s="16">
        <f>(Q11+R11)/2*Assumptions!E4</f>
        <v>85123.979230943994</v>
      </c>
      <c r="S18" s="16">
        <f>(R11+S11)/2*Assumptions!E4</f>
        <v>93933.228421684747</v>
      </c>
      <c r="T18" s="16">
        <f>(S11+T11)/2*Assumptions!E4</f>
        <v>103323.05196807669</v>
      </c>
      <c r="U18" s="16">
        <f>(T11+U11)/2*Assumptions!E4</f>
        <v>113487.89133526657</v>
      </c>
      <c r="V18" s="16">
        <f>(U11+V11)/2*Assumptions!E4</f>
        <v>124655.02373968788</v>
      </c>
      <c r="W18" s="16">
        <f>(V11+W11)/2*Assumptions!E4</f>
        <v>137091.79714546844</v>
      </c>
      <c r="X18" s="16">
        <f>(W11+X11)/2*Assumptions!E4</f>
        <v>151114.27909543522</v>
      </c>
      <c r="Y18" s="16">
        <f>(X11+Y11)/2*Assumptions!E4</f>
        <v>167050.04199865647</v>
      </c>
      <c r="Z18" s="16">
        <f>(Y11+Z11)/2*Assumptions!E4</f>
        <v>188309.82834909897</v>
      </c>
      <c r="AA18" s="16">
        <f>(Z11+AA11)/2*Assumptions!E4</f>
        <v>215322.23091293217</v>
      </c>
      <c r="AB18" s="16">
        <f>(AA11+AB11)/2*Assumptions!E4</f>
        <v>245613.98281750412</v>
      </c>
      <c r="AC18" s="16">
        <f>(AB11+AC11)/2*Assumptions!E4</f>
        <v>279957.72614542407</v>
      </c>
      <c r="AD18" s="16">
        <f>(AC11+AD11)/2*Assumptions!E4</f>
        <v>319274.2089240278</v>
      </c>
      <c r="AE18" s="16">
        <f>(AD11+AE11)/2*Assumptions!E4</f>
        <v>364662.25955027161</v>
      </c>
      <c r="AF18" s="16">
        <f>(AE11+AF11)/2*Assumptions!E4</f>
        <v>417434.73667262786</v>
      </c>
      <c r="AG18" s="16">
        <f>(AF11+AG11)/2*Assumptions!E4</f>
        <v>479161.65068992169</v>
      </c>
      <c r="AH18" s="16">
        <f>(AG11+AH11)/2*Assumptions!E4</f>
        <v>551721.89220026485</v>
      </c>
      <c r="AI18" s="16">
        <f>(AH11+AI11)/2*Assumptions!E4</f>
        <v>637365.28974433977</v>
      </c>
      <c r="AJ18" s="16">
        <f>(AI11+AJ11)/2*Assumptions!E4</f>
        <v>738787.06360365124</v>
      </c>
      <c r="AK18" s="16">
        <f>(AJ11+AK11)/2*Assumptions!E4</f>
        <v>859217.15571689373</v>
      </c>
      <c r="AL18" s="16">
        <f t="shared" ref="AL18:AL24" si="2">SUM(B18:M18)</f>
        <v>236339.34431524834</v>
      </c>
      <c r="AM18" s="16">
        <f t="shared" ref="AM18:AM24" si="3">SUM(N18:Y18)</f>
        <v>1234351.4858060468</v>
      </c>
      <c r="AN18" s="16">
        <f t="shared" ref="AN18:AN24" si="4">SUM(Z18:AK18)</f>
        <v>5296828.0253269579</v>
      </c>
    </row>
    <row r="19" spans="1:41" ht="15" customHeight="1" x14ac:dyDescent="0.2">
      <c r="A19" s="3" t="s">
        <v>67</v>
      </c>
      <c r="B19" s="16">
        <f>0</f>
        <v>0</v>
      </c>
      <c r="C19" s="16">
        <f>0</f>
        <v>0</v>
      </c>
      <c r="D19" s="16">
        <f>0</f>
        <v>0</v>
      </c>
      <c r="E19" s="16">
        <f>0</f>
        <v>0</v>
      </c>
      <c r="F19" s="16">
        <f>0</f>
        <v>0</v>
      </c>
      <c r="G19" s="16">
        <f>0</f>
        <v>0</v>
      </c>
      <c r="H19" s="16">
        <f>0</f>
        <v>0</v>
      </c>
      <c r="I19" s="16">
        <f>0</f>
        <v>0</v>
      </c>
      <c r="J19" s="16">
        <f>0</f>
        <v>0</v>
      </c>
      <c r="K19" s="16">
        <f>0</f>
        <v>0</v>
      </c>
      <c r="L19" s="16">
        <f>0</f>
        <v>0</v>
      </c>
      <c r="M19" s="16">
        <f>M12*Assumptions!E5</f>
        <v>1729.3250862046518</v>
      </c>
      <c r="N19" s="16">
        <f>(M12+N12)/2*Assumptions!E5</f>
        <v>2653.1849352925506</v>
      </c>
      <c r="O19" s="16">
        <f>(N12+O12)/2*Assumptions!E5</f>
        <v>4629.0542205350939</v>
      </c>
      <c r="P19" s="16">
        <f>(O12+P12)/2*Assumptions!E5</f>
        <v>6856.7725498296531</v>
      </c>
      <c r="Q19" s="16">
        <f>(P12+Q12)/2*Assumptions!E5</f>
        <v>9329.698401906393</v>
      </c>
      <c r="R19" s="16">
        <f>(Q12+R12)/2*Assumptions!E5</f>
        <v>12045.875491961551</v>
      </c>
      <c r="S19" s="16">
        <f>(R12+S12)/2*Assumptions!E5</f>
        <v>15008.428556491168</v>
      </c>
      <c r="T19" s="16">
        <f>(S12+T12)/2*Assumptions!E5</f>
        <v>18226.089438867632</v>
      </c>
      <c r="U19" s="16">
        <f>(T12+U12)/2*Assumptions!E5</f>
        <v>21713.875227841829</v>
      </c>
      <c r="V19" s="16">
        <f>(U12+V12)/2*Assumptions!E5</f>
        <v>25493.945068536974</v>
      </c>
      <c r="W19" s="16">
        <f>(V12+W12)/2*Assumptions!E5</f>
        <v>29596.668074332203</v>
      </c>
      <c r="X19" s="16">
        <f>(W12+X12)/2*Assumptions!E5</f>
        <v>34061.941714225381</v>
      </c>
      <c r="Y19" s="16">
        <f>(X12+Y12)/2*Assumptions!E5</f>
        <v>38940.808368960053</v>
      </c>
      <c r="Z19" s="16">
        <f>(Y12+Z12)/2*Assumptions!E5</f>
        <v>44295.570226796706</v>
      </c>
      <c r="AA19" s="16">
        <f>(Z12+AA12)/2*Assumptions!E5</f>
        <v>50319.843411339891</v>
      </c>
      <c r="AB19" s="16">
        <f>(AA12+AB12)/2*Assumptions!E5</f>
        <v>57218.171294046748</v>
      </c>
      <c r="AC19" s="16">
        <f>(AB12+AC12)/2*Assumptions!E5</f>
        <v>65092.384582477986</v>
      </c>
      <c r="AD19" s="16">
        <f>(AC12+AD12)/2*Assumptions!E5</f>
        <v>74071.429265331462</v>
      </c>
      <c r="AE19" s="16">
        <f>(AD12+AE12)/2*Assumptions!E5</f>
        <v>84316.3364091845</v>
      </c>
      <c r="AF19" s="16">
        <f>(AE12+AF12)/2*Assumptions!E5</f>
        <v>96026.213305560348</v>
      </c>
      <c r="AG19" s="16">
        <f>(AF12+AG12)/2*Assumptions!E5</f>
        <v>109445.45865802909</v>
      </c>
      <c r="AH19" s="16">
        <f>(AG12+AH12)/2*Assumptions!E5</f>
        <v>124872.44512613014</v>
      </c>
      <c r="AI19" s="16">
        <f>(AH12+AI12)/2*Assumptions!E5</f>
        <v>142669.96129042673</v>
      </c>
      <c r="AJ19" s="16">
        <f>(AI12+AJ12)/2*Assumptions!E5</f>
        <v>163277.7635953381</v>
      </c>
      <c r="AK19" s="16">
        <f>(AJ12+AK12)/2*Assumptions!E5</f>
        <v>187227.65901276283</v>
      </c>
      <c r="AL19" s="16">
        <f t="shared" si="2"/>
        <v>1729.3250862046518</v>
      </c>
      <c r="AM19" s="16">
        <f t="shared" si="3"/>
        <v>218556.34204878047</v>
      </c>
      <c r="AN19" s="16">
        <f t="shared" si="4"/>
        <v>1198833.2361774244</v>
      </c>
    </row>
    <row r="20" spans="1:41" ht="15" customHeight="1" x14ac:dyDescent="0.2">
      <c r="A20" s="3" t="s">
        <v>68</v>
      </c>
      <c r="B20" s="16">
        <f>0</f>
        <v>0</v>
      </c>
      <c r="C20" s="16">
        <f>0</f>
        <v>0</v>
      </c>
      <c r="D20" s="16">
        <f>0</f>
        <v>0</v>
      </c>
      <c r="E20" s="16">
        <f>0</f>
        <v>0</v>
      </c>
      <c r="F20" s="16">
        <f>0</f>
        <v>0</v>
      </c>
      <c r="G20" s="16">
        <f>G14*Assumptions!E6</f>
        <v>1396.5</v>
      </c>
      <c r="H20" s="16">
        <f>H14*Assumptions!E6</f>
        <v>2774.2143559979254</v>
      </c>
      <c r="I20" s="16">
        <f>I14*Assumptions!E6</f>
        <v>4133.395771481476</v>
      </c>
      <c r="J20" s="16">
        <f>J14*Assumptions!E6</f>
        <v>5474.2935505844234</v>
      </c>
      <c r="K20" s="16">
        <f>K14*Assumptions!E6</f>
        <v>6797.1536438145467</v>
      </c>
      <c r="L20" s="16">
        <f>L14*Assumptions!E6</f>
        <v>8102.2186931664219</v>
      </c>
      <c r="M20" s="16">
        <f>M14*Assumptions!E6</f>
        <v>9389.7280766273743</v>
      </c>
      <c r="N20" s="16">
        <f>N14*Assumptions!E7</f>
        <v>19462.460221300124</v>
      </c>
      <c r="O20" s="16">
        <f>O14*Assumptions!E7</f>
        <v>24756.377237682587</v>
      </c>
      <c r="P20" s="16">
        <f>P14*Assumptions!E7</f>
        <v>29979.080762875445</v>
      </c>
      <c r="Q20" s="16">
        <f>Q14*Assumptions!E7</f>
        <v>35131.528756988708</v>
      </c>
      <c r="R20" s="16">
        <f>R14*Assumptions!E7</f>
        <v>40214.666293703747</v>
      </c>
      <c r="S20" s="16">
        <f>S14*Assumptions!E7</f>
        <v>45229.425733620854</v>
      </c>
      <c r="T20" s="16">
        <f>T14*Assumptions!E7</f>
        <v>50176.726895274929</v>
      </c>
      <c r="U20" s="16">
        <f>U14*Assumptions!E7</f>
        <v>55057.47722385067</v>
      </c>
      <c r="V20" s="16">
        <f>V14*Assumptions!E7</f>
        <v>59872.57195762825</v>
      </c>
      <c r="W20" s="16">
        <f>W14*Assumptions!E7</f>
        <v>64622.894292189922</v>
      </c>
      <c r="X20" s="16">
        <f>X14*Assumptions!E7</f>
        <v>69309.315542417782</v>
      </c>
      <c r="Y20" s="16">
        <f>Y14*Assumptions!E7</f>
        <v>73932.695302312277</v>
      </c>
      <c r="Z20" s="16">
        <f>Z14*Assumptions!E7</f>
        <v>76711.856602660919</v>
      </c>
      <c r="AA20" s="16">
        <f>AA14*Assumptions!E7</f>
        <v>79453.632772459852</v>
      </c>
      <c r="AB20" s="16">
        <f>AB14*Assumptions!E7</f>
        <v>82158.526714504216</v>
      </c>
      <c r="AC20" s="16">
        <f>AC14*Assumptions!E7</f>
        <v>84827.034566567498</v>
      </c>
      <c r="AD20" s="16">
        <f>AD14*Assumptions!E7</f>
        <v>87459.645792404059</v>
      </c>
      <c r="AE20" s="16">
        <f>AE14*Assumptions!E7</f>
        <v>90056.843271527818</v>
      </c>
      <c r="AF20" s="16">
        <f>AF14*Assumptions!E7</f>
        <v>92619.103387783049</v>
      </c>
      <c r="AG20" s="16">
        <f>AG14*Assumptions!E7</f>
        <v>95146.896116723787</v>
      </c>
      <c r="AH20" s="16">
        <f>AH14*Assumptions!E7</f>
        <v>97640.685111817817</v>
      </c>
      <c r="AI20" s="16">
        <f>AI14*Assumptions!E7</f>
        <v>100100.92778949108</v>
      </c>
      <c r="AJ20" s="16">
        <f>AJ14*Assumptions!E7</f>
        <v>102528.07541302794</v>
      </c>
      <c r="AK20" s="16">
        <f>AK14*Assumptions!E7</f>
        <v>104922.57317534299</v>
      </c>
      <c r="AL20" s="16">
        <f t="shared" si="2"/>
        <v>38067.50409167217</v>
      </c>
      <c r="AM20" s="16">
        <f t="shared" si="3"/>
        <v>567745.2202198453</v>
      </c>
      <c r="AN20" s="16">
        <f t="shared" si="4"/>
        <v>1093625.8007143112</v>
      </c>
    </row>
    <row r="21" spans="1:41" ht="15" customHeight="1" x14ac:dyDescent="0.2">
      <c r="A21" s="3" t="s">
        <v>69</v>
      </c>
      <c r="B21" s="16">
        <f>0</f>
        <v>0</v>
      </c>
      <c r="C21" s="16">
        <f>0</f>
        <v>0</v>
      </c>
      <c r="D21" s="16">
        <f>Assumptions!E35</f>
        <v>1000</v>
      </c>
      <c r="E21" s="16">
        <f>Assumptions!E35</f>
        <v>1000</v>
      </c>
      <c r="F21" s="16">
        <f>Assumptions!E35</f>
        <v>1000</v>
      </c>
      <c r="G21" s="16">
        <f>Assumptions!E35</f>
        <v>1000</v>
      </c>
      <c r="H21" s="16">
        <f>Assumptions!E35</f>
        <v>1000</v>
      </c>
      <c r="I21" s="16">
        <f>Assumptions!E35</f>
        <v>1000</v>
      </c>
      <c r="J21" s="16">
        <f>Assumptions!E35</f>
        <v>1000</v>
      </c>
      <c r="K21" s="16">
        <f>Assumptions!E35</f>
        <v>1000</v>
      </c>
      <c r="L21" s="16">
        <f>Assumptions!E35</f>
        <v>1000</v>
      </c>
      <c r="M21" s="16">
        <f>Assumptions!E35</f>
        <v>1000</v>
      </c>
      <c r="N21" s="16">
        <f>Assumptions!E36</f>
        <v>2000</v>
      </c>
      <c r="O21" s="16">
        <f>Assumptions!E36</f>
        <v>2000</v>
      </c>
      <c r="P21" s="16">
        <f>Assumptions!E36</f>
        <v>2000</v>
      </c>
      <c r="Q21" s="16">
        <f>Assumptions!E36</f>
        <v>2000</v>
      </c>
      <c r="R21" s="16">
        <f>Assumptions!E36</f>
        <v>2000</v>
      </c>
      <c r="S21" s="16">
        <f>Assumptions!E36</f>
        <v>2000</v>
      </c>
      <c r="T21" s="16">
        <f>Assumptions!E36</f>
        <v>2000</v>
      </c>
      <c r="U21" s="16">
        <f>Assumptions!E36</f>
        <v>2000</v>
      </c>
      <c r="V21" s="16">
        <f>Assumptions!E36</f>
        <v>2000</v>
      </c>
      <c r="W21" s="16">
        <f>Assumptions!E36</f>
        <v>2000</v>
      </c>
      <c r="X21" s="16">
        <f>Assumptions!E36</f>
        <v>2000</v>
      </c>
      <c r="Y21" s="16">
        <f>Assumptions!E36</f>
        <v>2000</v>
      </c>
      <c r="Z21" s="16">
        <f>Assumptions!E37</f>
        <v>3000</v>
      </c>
      <c r="AA21" s="16">
        <f>Assumptions!E37</f>
        <v>3000</v>
      </c>
      <c r="AB21" s="16">
        <f>Assumptions!E37</f>
        <v>3000</v>
      </c>
      <c r="AC21" s="16">
        <f>Assumptions!E37</f>
        <v>3000</v>
      </c>
      <c r="AD21" s="16">
        <f>Assumptions!E37</f>
        <v>3000</v>
      </c>
      <c r="AE21" s="16">
        <f>Assumptions!E37</f>
        <v>3000</v>
      </c>
      <c r="AF21" s="16">
        <f>Assumptions!E37</f>
        <v>3000</v>
      </c>
      <c r="AG21" s="16">
        <f>Assumptions!E37</f>
        <v>3000</v>
      </c>
      <c r="AH21" s="16">
        <f>Assumptions!E37</f>
        <v>3000</v>
      </c>
      <c r="AI21" s="16">
        <f>Assumptions!E37</f>
        <v>3000</v>
      </c>
      <c r="AJ21" s="16">
        <f>Assumptions!E37</f>
        <v>3000</v>
      </c>
      <c r="AK21" s="16">
        <f>Assumptions!E37</f>
        <v>3000</v>
      </c>
      <c r="AL21" s="16">
        <f t="shared" si="2"/>
        <v>10000</v>
      </c>
      <c r="AM21" s="16">
        <f t="shared" si="3"/>
        <v>24000</v>
      </c>
      <c r="AN21" s="16">
        <f t="shared" si="4"/>
        <v>36000</v>
      </c>
      <c r="AO21" t="s">
        <v>70</v>
      </c>
    </row>
    <row r="22" spans="1:41" ht="15" customHeight="1" x14ac:dyDescent="0.2">
      <c r="A22" s="3" t="s">
        <v>71</v>
      </c>
      <c r="B22" s="16">
        <f>0</f>
        <v>0</v>
      </c>
      <c r="C22" s="16">
        <f>0</f>
        <v>0</v>
      </c>
      <c r="D22" s="16">
        <f>0</f>
        <v>0</v>
      </c>
      <c r="E22" s="16">
        <f>0</f>
        <v>0</v>
      </c>
      <c r="F22" s="16">
        <f>0</f>
        <v>0</v>
      </c>
      <c r="G22" s="16">
        <f>G13*Assumptions!E39</f>
        <v>1000</v>
      </c>
      <c r="H22" s="16">
        <f>H13*Assumptions!E39</f>
        <v>2000</v>
      </c>
      <c r="I22" s="16">
        <f>I13*Assumptions!E39</f>
        <v>3000</v>
      </c>
      <c r="J22" s="16">
        <f>J13*Assumptions!E39</f>
        <v>4000</v>
      </c>
      <c r="K22" s="16">
        <f>K13*Assumptions!E39</f>
        <v>5000</v>
      </c>
      <c r="L22" s="16">
        <f>L13*Assumptions!E39</f>
        <v>6000</v>
      </c>
      <c r="M22" s="16">
        <f>M13*Assumptions!E39</f>
        <v>7000</v>
      </c>
      <c r="N22" s="16">
        <f>N13*Assumptions!E39</f>
        <v>9650</v>
      </c>
      <c r="O22" s="16">
        <f>O13*Assumptions!E39</f>
        <v>12300</v>
      </c>
      <c r="P22" s="16">
        <f>P13*Assumptions!E39</f>
        <v>14950.000000000002</v>
      </c>
      <c r="Q22" s="16">
        <f>Q13*Assumptions!E39</f>
        <v>17600</v>
      </c>
      <c r="R22" s="16">
        <f>R13*Assumptions!E39</f>
        <v>20250</v>
      </c>
      <c r="S22" s="16">
        <f>S13*Assumptions!E39</f>
        <v>22900</v>
      </c>
      <c r="T22" s="16">
        <f>T13*Assumptions!E39</f>
        <v>25549.999999999996</v>
      </c>
      <c r="U22" s="16">
        <f>U13*Assumptions!E39</f>
        <v>28199.999999999996</v>
      </c>
      <c r="V22" s="16">
        <f>V13*Assumptions!E39</f>
        <v>30849.999999999993</v>
      </c>
      <c r="W22" s="16">
        <f>W13*Assumptions!E39</f>
        <v>33499.999999999993</v>
      </c>
      <c r="X22" s="16">
        <f>X13*Assumptions!E39</f>
        <v>36149.999999999993</v>
      </c>
      <c r="Y22" s="16">
        <f>Y13*Assumptions!E39</f>
        <v>38799.999999999993</v>
      </c>
      <c r="Z22" s="16">
        <f>Z13*Assumptions!E39</f>
        <v>40599.999999999985</v>
      </c>
      <c r="AA22" s="16">
        <f>AA13*Assumptions!E39</f>
        <v>42399.999999999985</v>
      </c>
      <c r="AB22" s="16">
        <f>AB13*Assumptions!E39</f>
        <v>44199.999999999978</v>
      </c>
      <c r="AC22" s="16">
        <f>AC13*Assumptions!E39</f>
        <v>45999.999999999978</v>
      </c>
      <c r="AD22" s="16">
        <f>AD13*Assumptions!E39</f>
        <v>47799.999999999978</v>
      </c>
      <c r="AE22" s="16">
        <f>AE13*Assumptions!E39</f>
        <v>49599.999999999971</v>
      </c>
      <c r="AF22" s="16">
        <f>AF13*Assumptions!E39</f>
        <v>51399.999999999971</v>
      </c>
      <c r="AG22" s="16">
        <f>AG13*Assumptions!E39</f>
        <v>53199.999999999971</v>
      </c>
      <c r="AH22" s="16">
        <f>AH13*Assumptions!E39</f>
        <v>54999.999999999964</v>
      </c>
      <c r="AI22" s="16">
        <f>AI13*Assumptions!E39</f>
        <v>56799.999999999964</v>
      </c>
      <c r="AJ22" s="16">
        <f>AJ13*Assumptions!E39</f>
        <v>58599.999999999956</v>
      </c>
      <c r="AK22" s="16">
        <f>AK13*Assumptions!E39</f>
        <v>60399.999999999956</v>
      </c>
      <c r="AL22" s="16">
        <f t="shared" si="2"/>
        <v>28000</v>
      </c>
      <c r="AM22" s="16">
        <f t="shared" si="3"/>
        <v>290700</v>
      </c>
      <c r="AN22" s="16">
        <f t="shared" si="4"/>
        <v>605999.99999999977</v>
      </c>
    </row>
    <row r="23" spans="1:41" ht="15" customHeight="1" x14ac:dyDescent="0.2">
      <c r="A23" s="3" t="s">
        <v>72</v>
      </c>
      <c r="B23" s="16">
        <f>0</f>
        <v>0</v>
      </c>
      <c r="C23" s="16">
        <f>0</f>
        <v>0</v>
      </c>
      <c r="D23" s="16">
        <f>0</f>
        <v>0</v>
      </c>
      <c r="E23" s="16">
        <f>0</f>
        <v>0</v>
      </c>
      <c r="F23" s="16">
        <f>0</f>
        <v>0</v>
      </c>
      <c r="G23" s="16">
        <f>0</f>
        <v>0</v>
      </c>
      <c r="H23" s="16">
        <f>0</f>
        <v>0</v>
      </c>
      <c r="I23" s="16">
        <f>0</f>
        <v>0</v>
      </c>
      <c r="J23" s="16">
        <f>0</f>
        <v>0</v>
      </c>
      <c r="K23" s="16">
        <f>0</f>
        <v>0</v>
      </c>
      <c r="L23" s="16">
        <f>0</f>
        <v>0</v>
      </c>
      <c r="M23" s="16">
        <f>0</f>
        <v>0</v>
      </c>
      <c r="N23" s="16">
        <f>0</f>
        <v>0</v>
      </c>
      <c r="O23" s="16">
        <f>0</f>
        <v>0</v>
      </c>
      <c r="P23" s="16">
        <f>0</f>
        <v>0</v>
      </c>
      <c r="Q23" s="16">
        <f>0</f>
        <v>0</v>
      </c>
      <c r="R23" s="16">
        <f>0</f>
        <v>0</v>
      </c>
      <c r="S23" s="16">
        <f>0</f>
        <v>0</v>
      </c>
      <c r="T23" s="16">
        <f>0</f>
        <v>0</v>
      </c>
      <c r="U23" s="16">
        <f>0</f>
        <v>0</v>
      </c>
      <c r="V23" s="16">
        <f>0</f>
        <v>0</v>
      </c>
      <c r="W23" s="16">
        <f>0</f>
        <v>0</v>
      </c>
      <c r="X23" s="16">
        <f>0</f>
        <v>0</v>
      </c>
      <c r="Y23" s="16">
        <f>0</f>
        <v>0</v>
      </c>
      <c r="Z23" s="16">
        <f>Assumptions!E38</f>
        <v>3500</v>
      </c>
      <c r="AA23" s="16">
        <f>Assumptions!E38</f>
        <v>3500</v>
      </c>
      <c r="AB23" s="16">
        <f>Assumptions!E38</f>
        <v>3500</v>
      </c>
      <c r="AC23" s="16">
        <f>Assumptions!E38</f>
        <v>3500</v>
      </c>
      <c r="AD23" s="16">
        <f>Assumptions!E38</f>
        <v>3500</v>
      </c>
      <c r="AE23" s="16">
        <f>Assumptions!E38</f>
        <v>3500</v>
      </c>
      <c r="AF23" s="16">
        <f>Assumptions!E38</f>
        <v>3500</v>
      </c>
      <c r="AG23" s="16">
        <f>Assumptions!E38</f>
        <v>3500</v>
      </c>
      <c r="AH23" s="16">
        <f>Assumptions!E38</f>
        <v>3500</v>
      </c>
      <c r="AI23" s="16">
        <f>Assumptions!E38</f>
        <v>3500</v>
      </c>
      <c r="AJ23" s="16">
        <f>Assumptions!E38</f>
        <v>3500</v>
      </c>
      <c r="AK23" s="16">
        <f>Assumptions!E38</f>
        <v>3500</v>
      </c>
      <c r="AL23" s="16">
        <f t="shared" si="2"/>
        <v>0</v>
      </c>
      <c r="AM23" s="16">
        <f t="shared" si="3"/>
        <v>0</v>
      </c>
      <c r="AN23" s="16">
        <f t="shared" si="4"/>
        <v>42000</v>
      </c>
    </row>
    <row r="24" spans="1:41" ht="15" customHeight="1" x14ac:dyDescent="0.2">
      <c r="A24" s="13" t="s">
        <v>73</v>
      </c>
      <c r="B24" s="18">
        <f t="shared" ref="B24:AK24" si="5">B18+B19+B20+B21+B22+B23</f>
        <v>272.45400000000001</v>
      </c>
      <c r="C24" s="18">
        <f t="shared" si="5"/>
        <v>426.39051000000001</v>
      </c>
      <c r="D24" s="18">
        <f t="shared" si="5"/>
        <v>1756.1824543</v>
      </c>
      <c r="E24" s="18">
        <f t="shared" si="5"/>
        <v>5045.9763650933437</v>
      </c>
      <c r="F24" s="18">
        <f t="shared" si="5"/>
        <v>11107.643403053598</v>
      </c>
      <c r="G24" s="18">
        <f t="shared" si="5"/>
        <v>19258.451788298371</v>
      </c>
      <c r="H24" s="18">
        <f t="shared" si="5"/>
        <v>27133.088281609736</v>
      </c>
      <c r="I24" s="18">
        <f t="shared" si="5"/>
        <v>34781.934874852137</v>
      </c>
      <c r="J24" s="18">
        <f t="shared" si="5"/>
        <v>42256.485357787773</v>
      </c>
      <c r="K24" s="18">
        <f t="shared" si="5"/>
        <v>49610.407242368798</v>
      </c>
      <c r="L24" s="18">
        <f t="shared" si="5"/>
        <v>56900.737719690253</v>
      </c>
      <c r="M24" s="18">
        <f t="shared" si="5"/>
        <v>65586.421496071154</v>
      </c>
      <c r="N24" s="18">
        <f t="shared" si="5"/>
        <v>86404.95497529213</v>
      </c>
      <c r="O24" s="18">
        <f t="shared" si="5"/>
        <v>104292.48242046533</v>
      </c>
      <c r="P24" s="39">
        <f>P18+P19+P20+P21+P22+P23</f>
        <v>122384.05117040299</v>
      </c>
      <c r="Q24" s="18">
        <f t="shared" si="5"/>
        <v>140788.86139107691</v>
      </c>
      <c r="R24" s="18">
        <f t="shared" si="5"/>
        <v>159634.52101660927</v>
      </c>
      <c r="S24" s="18">
        <f t="shared" si="5"/>
        <v>179071.08271179677</v>
      </c>
      <c r="T24" s="18">
        <f t="shared" si="5"/>
        <v>199275.86830221926</v>
      </c>
      <c r="U24" s="18">
        <f t="shared" si="5"/>
        <v>220459.24378695906</v>
      </c>
      <c r="V24" s="18">
        <f t="shared" si="5"/>
        <v>242871.5407658531</v>
      </c>
      <c r="W24" s="18">
        <f t="shared" si="5"/>
        <v>266811.35951199057</v>
      </c>
      <c r="X24" s="18">
        <f t="shared" si="5"/>
        <v>292635.53635207837</v>
      </c>
      <c r="Y24" s="18">
        <f t="shared" si="5"/>
        <v>320723.54566992878</v>
      </c>
      <c r="Z24" s="18">
        <f t="shared" si="5"/>
        <v>356417.2551785566</v>
      </c>
      <c r="AA24" s="18">
        <f t="shared" si="5"/>
        <v>393995.70709673187</v>
      </c>
      <c r="AB24" s="18">
        <f t="shared" si="5"/>
        <v>435690.68082605512</v>
      </c>
      <c r="AC24" s="18">
        <f t="shared" si="5"/>
        <v>482377.14529446955</v>
      </c>
      <c r="AD24" s="18">
        <f t="shared" si="5"/>
        <v>535105.28398176329</v>
      </c>
      <c r="AE24" s="18">
        <f t="shared" si="5"/>
        <v>595135.43923098396</v>
      </c>
      <c r="AF24" s="18">
        <f t="shared" si="5"/>
        <v>663980.05336597119</v>
      </c>
      <c r="AG24" s="18">
        <f t="shared" si="5"/>
        <v>743454.00546467456</v>
      </c>
      <c r="AH24" s="18">
        <f t="shared" si="5"/>
        <v>835735.02243821276</v>
      </c>
      <c r="AI24" s="18">
        <f t="shared" si="5"/>
        <v>943436.17882425757</v>
      </c>
      <c r="AJ24" s="18">
        <f t="shared" si="5"/>
        <v>1069692.9026120172</v>
      </c>
      <c r="AK24" s="18">
        <f t="shared" si="5"/>
        <v>1218267.3879049995</v>
      </c>
      <c r="AL24" s="18">
        <f t="shared" si="2"/>
        <v>314136.17349312513</v>
      </c>
      <c r="AM24" s="18">
        <f t="shared" si="3"/>
        <v>2335353.0480746725</v>
      </c>
      <c r="AN24" s="18">
        <f t="shared" si="4"/>
        <v>8273287.062218694</v>
      </c>
    </row>
    <row r="25" spans="1:41" ht="15" customHeight="1" x14ac:dyDescent="0.2">
      <c r="A25" s="3" t="s">
        <v>74</v>
      </c>
      <c r="B25" s="16">
        <f t="shared" ref="B25:AK25" si="6">B18+B19+B20</f>
        <v>272.45400000000001</v>
      </c>
      <c r="C25" s="16">
        <f t="shared" si="6"/>
        <v>426.39051000000001</v>
      </c>
      <c r="D25" s="16">
        <f t="shared" si="6"/>
        <v>756.18245430000002</v>
      </c>
      <c r="E25" s="16">
        <f t="shared" si="6"/>
        <v>4045.9763650933437</v>
      </c>
      <c r="F25" s="16">
        <f t="shared" si="6"/>
        <v>10107.643403053598</v>
      </c>
      <c r="G25" s="16">
        <f t="shared" si="6"/>
        <v>17258.451788298371</v>
      </c>
      <c r="H25" s="16">
        <f t="shared" si="6"/>
        <v>24133.088281609736</v>
      </c>
      <c r="I25" s="16">
        <f t="shared" si="6"/>
        <v>30781.934874852137</v>
      </c>
      <c r="J25" s="16">
        <f t="shared" si="6"/>
        <v>37256.485357787773</v>
      </c>
      <c r="K25" s="16">
        <f t="shared" si="6"/>
        <v>43610.407242368798</v>
      </c>
      <c r="L25" s="16">
        <f t="shared" si="6"/>
        <v>49900.737719690253</v>
      </c>
      <c r="M25" s="16">
        <f t="shared" si="6"/>
        <v>57586.421496071147</v>
      </c>
      <c r="N25" s="16">
        <f t="shared" si="6"/>
        <v>74754.95497529213</v>
      </c>
      <c r="O25" s="16">
        <f t="shared" si="6"/>
        <v>89992.482420465327</v>
      </c>
      <c r="P25" s="16">
        <f t="shared" si="6"/>
        <v>105434.05117040299</v>
      </c>
      <c r="Q25" s="16">
        <f t="shared" si="6"/>
        <v>121188.86139107691</v>
      </c>
      <c r="R25" s="16">
        <f t="shared" si="6"/>
        <v>137384.52101660927</v>
      </c>
      <c r="S25" s="16">
        <f t="shared" si="6"/>
        <v>154171.08271179677</v>
      </c>
      <c r="T25" s="16">
        <f t="shared" si="6"/>
        <v>171725.86830221926</v>
      </c>
      <c r="U25" s="16">
        <f t="shared" si="6"/>
        <v>190259.24378695906</v>
      </c>
      <c r="V25" s="16">
        <f t="shared" si="6"/>
        <v>210021.5407658531</v>
      </c>
      <c r="W25" s="16">
        <f t="shared" si="6"/>
        <v>231311.35951199057</v>
      </c>
      <c r="X25" s="16">
        <f t="shared" si="6"/>
        <v>254485.5363520784</v>
      </c>
      <c r="Y25" s="16">
        <f t="shared" si="6"/>
        <v>279923.54566992878</v>
      </c>
      <c r="Z25" s="16">
        <f t="shared" si="6"/>
        <v>309317.2551785566</v>
      </c>
      <c r="AA25" s="16">
        <f t="shared" si="6"/>
        <v>345095.70709673187</v>
      </c>
      <c r="AB25" s="16">
        <f t="shared" si="6"/>
        <v>384990.68082605512</v>
      </c>
      <c r="AC25" s="16">
        <f t="shared" si="6"/>
        <v>429877.14529446955</v>
      </c>
      <c r="AD25" s="16">
        <f t="shared" si="6"/>
        <v>480805.28398176335</v>
      </c>
      <c r="AE25" s="16">
        <f t="shared" si="6"/>
        <v>539035.43923098396</v>
      </c>
      <c r="AF25" s="16">
        <f t="shared" si="6"/>
        <v>606080.05336597119</v>
      </c>
      <c r="AG25" s="16">
        <f t="shared" si="6"/>
        <v>683754.00546467456</v>
      </c>
      <c r="AH25" s="16">
        <f t="shared" si="6"/>
        <v>774235.02243821276</v>
      </c>
      <c r="AI25" s="16">
        <f t="shared" si="6"/>
        <v>880136.17882425757</v>
      </c>
      <c r="AJ25" s="16">
        <f t="shared" si="6"/>
        <v>1004592.9026120172</v>
      </c>
      <c r="AK25" s="16">
        <f t="shared" si="6"/>
        <v>1151367.3879049995</v>
      </c>
      <c r="AL25" s="16">
        <f>M25</f>
        <v>57586.421496071147</v>
      </c>
      <c r="AM25" s="16">
        <f>Y25</f>
        <v>279923.54566992878</v>
      </c>
      <c r="AN25" s="16">
        <f>AK25</f>
        <v>1151367.3879049995</v>
      </c>
      <c r="AO25" t="s">
        <v>75</v>
      </c>
    </row>
    <row r="26" spans="1:41" ht="15" customHeight="1" x14ac:dyDescent="0.2">
      <c r="A26" s="3" t="s">
        <v>76</v>
      </c>
      <c r="B26" s="2">
        <f t="shared" ref="B26:AK26" si="7">B25*12</f>
        <v>3269.4480000000003</v>
      </c>
      <c r="C26" s="2">
        <f t="shared" si="7"/>
        <v>5116.6861200000003</v>
      </c>
      <c r="D26" s="2">
        <f t="shared" si="7"/>
        <v>9074.1894515999993</v>
      </c>
      <c r="E26" s="2">
        <f t="shared" si="7"/>
        <v>48551.716381120124</v>
      </c>
      <c r="F26" s="2">
        <f t="shared" si="7"/>
        <v>121291.72083664319</v>
      </c>
      <c r="G26" s="2">
        <f t="shared" si="7"/>
        <v>207101.42145958045</v>
      </c>
      <c r="H26" s="2">
        <f t="shared" si="7"/>
        <v>289597.05937931687</v>
      </c>
      <c r="I26" s="2">
        <f t="shared" si="7"/>
        <v>369383.21849822567</v>
      </c>
      <c r="J26" s="2">
        <f t="shared" si="7"/>
        <v>447077.82429345325</v>
      </c>
      <c r="K26" s="2">
        <f t="shared" si="7"/>
        <v>523324.8869084256</v>
      </c>
      <c r="L26" s="2">
        <f t="shared" si="7"/>
        <v>598808.85263628303</v>
      </c>
      <c r="M26" s="2">
        <f t="shared" si="7"/>
        <v>691037.05795285373</v>
      </c>
      <c r="N26" s="2">
        <f t="shared" si="7"/>
        <v>897059.4597035055</v>
      </c>
      <c r="O26" s="2">
        <f t="shared" si="7"/>
        <v>1079909.7890455839</v>
      </c>
      <c r="P26" s="2">
        <f t="shared" si="7"/>
        <v>1265208.6140448358</v>
      </c>
      <c r="Q26" s="2">
        <f t="shared" si="7"/>
        <v>1454266.3366929227</v>
      </c>
      <c r="R26" s="2">
        <f t="shared" si="7"/>
        <v>1648614.2521993113</v>
      </c>
      <c r="S26" s="2">
        <f t="shared" si="7"/>
        <v>1850052.9925415614</v>
      </c>
      <c r="T26" s="2">
        <f t="shared" si="7"/>
        <v>2060710.4196266311</v>
      </c>
      <c r="U26" s="2">
        <f t="shared" si="7"/>
        <v>2283110.9254435087</v>
      </c>
      <c r="V26" s="2">
        <f t="shared" si="7"/>
        <v>2520258.4891902371</v>
      </c>
      <c r="W26" s="2">
        <f t="shared" si="7"/>
        <v>2775736.3141438868</v>
      </c>
      <c r="X26" s="2">
        <f t="shared" si="7"/>
        <v>3053826.4362249407</v>
      </c>
      <c r="Y26" s="2">
        <f t="shared" si="7"/>
        <v>3359082.5480391453</v>
      </c>
      <c r="Z26" s="2">
        <f t="shared" si="7"/>
        <v>3711807.0621426795</v>
      </c>
      <c r="AA26" s="2">
        <f t="shared" si="7"/>
        <v>4141148.4851607825</v>
      </c>
      <c r="AB26" s="2">
        <f t="shared" si="7"/>
        <v>4619888.1699126614</v>
      </c>
      <c r="AC26" s="2">
        <f t="shared" si="7"/>
        <v>5158525.7435336346</v>
      </c>
      <c r="AD26" s="2">
        <f t="shared" si="7"/>
        <v>5769663.4077811604</v>
      </c>
      <c r="AE26" s="2">
        <f t="shared" si="7"/>
        <v>6468425.2707718071</v>
      </c>
      <c r="AF26" s="2">
        <f t="shared" si="7"/>
        <v>7272960.6403916543</v>
      </c>
      <c r="AG26" s="2">
        <f t="shared" si="7"/>
        <v>8205048.0655760951</v>
      </c>
      <c r="AH26" s="2">
        <f t="shared" si="7"/>
        <v>9290820.2692585532</v>
      </c>
      <c r="AI26" s="2">
        <f t="shared" si="7"/>
        <v>10561634.145891091</v>
      </c>
      <c r="AJ26" s="2">
        <f t="shared" si="7"/>
        <v>12055114.831344206</v>
      </c>
      <c r="AK26" s="2">
        <f t="shared" si="7"/>
        <v>13816408.654859994</v>
      </c>
      <c r="AL26" s="2">
        <f>M26</f>
        <v>691037.05795285373</v>
      </c>
      <c r="AM26" s="2">
        <f>Y26</f>
        <v>3359082.5480391453</v>
      </c>
      <c r="AN26" s="2">
        <f>AK26</f>
        <v>13816408.654859994</v>
      </c>
    </row>
    <row r="28" spans="1:41" ht="15" customHeight="1" x14ac:dyDescent="0.2">
      <c r="A28" s="30" t="s">
        <v>77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</row>
    <row r="29" spans="1:41" ht="15" customHeight="1" x14ac:dyDescent="0.2">
      <c r="A29" s="3" t="s">
        <v>78</v>
      </c>
      <c r="B29" s="2">
        <f>SUM(B18:B18)+SUM(B19:B19)</f>
        <v>272.45400000000001</v>
      </c>
      <c r="C29" s="2">
        <f>SUM(B18:C18)+SUM(B19:C19)</f>
        <v>698.84451000000001</v>
      </c>
      <c r="D29" s="2">
        <f>SUM(B18:D18)+SUM(B19:D19)</f>
        <v>1455.0269643000001</v>
      </c>
      <c r="E29" s="2">
        <f>SUM(B18:E18)+SUM(B19:E19)</f>
        <v>5501.0033293933438</v>
      </c>
      <c r="F29" s="2">
        <f>SUM(B18:F18)+SUM(B19:F19)</f>
        <v>15608.646732446941</v>
      </c>
      <c r="G29" s="2">
        <f>SUM(B18:G18)+SUM(B19:G19)</f>
        <v>31470.598520745312</v>
      </c>
      <c r="H29" s="2">
        <f>SUM(B18:H18)+SUM(B19:H19)</f>
        <v>52829.472446357118</v>
      </c>
      <c r="I29" s="2">
        <f>SUM(B18:I18)+SUM(B19:I19)</f>
        <v>79478.011549727787</v>
      </c>
      <c r="J29" s="2">
        <f>SUM(B18:J18)+SUM(B19:J19)</f>
        <v>111260.20335693113</v>
      </c>
      <c r="K29" s="2">
        <f>SUM(B18:K18)+SUM(B19:K19)</f>
        <v>148073.4569554854</v>
      </c>
      <c r="L29" s="2">
        <f>SUM(B18:L18)+SUM(B19:L19)</f>
        <v>189871.97598200923</v>
      </c>
      <c r="M29" s="2">
        <f t="shared" ref="M29:AK29" si="8">SUM(B18:M18)+SUM(B19:M19)</f>
        <v>238068.66940145299</v>
      </c>
      <c r="N29" s="2">
        <f t="shared" si="8"/>
        <v>293088.71015544498</v>
      </c>
      <c r="O29" s="2">
        <f t="shared" si="8"/>
        <v>357898.42482822773</v>
      </c>
      <c r="P29" s="2">
        <f t="shared" si="8"/>
        <v>432597.21278145531</v>
      </c>
      <c r="Q29" s="2">
        <f t="shared" si="8"/>
        <v>514608.56905045017</v>
      </c>
      <c r="R29" s="2">
        <f t="shared" si="8"/>
        <v>601670.78037030215</v>
      </c>
      <c r="S29" s="2">
        <f t="shared" si="8"/>
        <v>694750.48556017957</v>
      </c>
      <c r="T29" s="2">
        <f t="shared" si="8"/>
        <v>794940.75304151222</v>
      </c>
      <c r="U29" s="2">
        <f t="shared" si="8"/>
        <v>903493.9805012499</v>
      </c>
      <c r="V29" s="2">
        <f t="shared" si="8"/>
        <v>1021860.7575022714</v>
      </c>
      <c r="W29" s="2">
        <f t="shared" si="8"/>
        <v>1151735.9691235176</v>
      </c>
      <c r="X29" s="2">
        <f t="shared" si="8"/>
        <v>1295113.6709066546</v>
      </c>
      <c r="Y29" s="2">
        <f t="shared" si="8"/>
        <v>1452907.8278548273</v>
      </c>
      <c r="Z29" s="2">
        <f t="shared" si="8"/>
        <v>1630220.731676731</v>
      </c>
      <c r="AA29" s="2">
        <f t="shared" si="8"/>
        <v>1830626.7008182202</v>
      </c>
      <c r="AB29" s="2">
        <f t="shared" si="8"/>
        <v>2058003.8845222436</v>
      </c>
      <c r="AC29" s="2">
        <f t="shared" si="8"/>
        <v>2316996.6626160573</v>
      </c>
      <c r="AD29" s="2">
        <f t="shared" si="8"/>
        <v>2613172.446082511</v>
      </c>
      <c r="AE29" s="2">
        <f t="shared" si="8"/>
        <v>2953209.3850637916</v>
      </c>
      <c r="AF29" s="2">
        <f t="shared" si="8"/>
        <v>3345121.1936350358</v>
      </c>
      <c r="AG29" s="2">
        <f t="shared" si="8"/>
        <v>3798526.5364198778</v>
      </c>
      <c r="AH29" s="2">
        <f t="shared" si="8"/>
        <v>4324971.9049380478</v>
      </c>
      <c r="AI29" s="2">
        <f t="shared" si="8"/>
        <v>4938318.6907530138</v>
      </c>
      <c r="AJ29" s="2">
        <f t="shared" si="8"/>
        <v>5655207.2971423417</v>
      </c>
      <c r="AK29" s="2">
        <f t="shared" si="8"/>
        <v>6495661.2615043819</v>
      </c>
    </row>
    <row r="30" spans="1:41" ht="15" customHeight="1" x14ac:dyDescent="0.2">
      <c r="A30" s="3" t="s">
        <v>79</v>
      </c>
      <c r="B30" s="16">
        <f>IF(B29&lt;Assumptions!E43,(B18+B19)*Assumptions!E41,(B18+B19)*Assumptions!E42)</f>
        <v>40.868099999999998</v>
      </c>
      <c r="C30" s="16">
        <f>IF(C29&lt;Assumptions!E43,(C18+C19)*Assumptions!E41,(C18+C19)*Assumptions!E42)</f>
        <v>63.958576499999999</v>
      </c>
      <c r="D30" s="16">
        <f>IF(D29&lt;Assumptions!E43,(D18+D19)*Assumptions!E41,(D18+D19)*Assumptions!E42)</f>
        <v>113.427368145</v>
      </c>
      <c r="E30" s="16">
        <f>IF(E29&lt;Assumptions!E43,(E18+E19)*Assumptions!E41,(E18+E19)*Assumptions!E42)</f>
        <v>606.89645476400153</v>
      </c>
      <c r="F30" s="16">
        <f>IF(F29&lt;Assumptions!E43,(F18+F19)*Assumptions!E41,(F18+F19)*Assumptions!E42)</f>
        <v>1516.1465104580398</v>
      </c>
      <c r="G30" s="16">
        <f>IF(G29&lt;Assumptions!E43,(G18+G19)*Assumptions!E41,(G18+G19)*Assumptions!E42)</f>
        <v>2379.2927682447557</v>
      </c>
      <c r="H30" s="16">
        <f>IF(H29&lt;Assumptions!E43,(H18+H19)*Assumptions!E41,(H18+H19)*Assumptions!E42)</f>
        <v>3203.8310888417714</v>
      </c>
      <c r="I30" s="16">
        <f>IF(I29&lt;Assumptions!E43,(I18+I19)*Assumptions!E41,(I18+I19)*Assumptions!E42)</f>
        <v>3997.2808655055992</v>
      </c>
      <c r="J30" s="16">
        <f>IF(J29&lt;Assumptions!E43,(J18+J19)*Assumptions!E41,(J18+J19)*Assumptions!E42)</f>
        <v>4767.3287710805025</v>
      </c>
      <c r="K30" s="16">
        <f>IF(K29&lt;Assumptions!E43,(K18+K19)*Assumptions!E41,(K18+K19)*Assumptions!E42)</f>
        <v>5521.9880397831375</v>
      </c>
      <c r="L30" s="16">
        <f>IF(L29&lt;Assumptions!E43,(L18+L19)*Assumptions!E41,(L18+L19)*Assumptions!E42)</f>
        <v>6269.7778539785741</v>
      </c>
      <c r="M30" s="16">
        <f>IF(M29&lt;Assumptions!E43,(M18+M19)*Assumptions!E41,(M18+M19)*Assumptions!E42)</f>
        <v>7229.5040129165654</v>
      </c>
      <c r="N30" s="16">
        <f>IF(N29&lt;Assumptions!E43,(N18+N19)*Assumptions!E41,(N18+N19)*Assumptions!E42)</f>
        <v>8293.8742130987994</v>
      </c>
      <c r="O30" s="16">
        <f>IF(O29&lt;Assumptions!E43,(O18+O19)*Assumptions!E41,(O18+O19)*Assumptions!E42)</f>
        <v>9785.4157774174091</v>
      </c>
      <c r="P30" s="16">
        <f>IF(P29&lt;Assumptions!E43,(P18+P19)*Assumptions!E41,(P18+P19)*Assumptions!E42)</f>
        <v>11318.245561129132</v>
      </c>
      <c r="Q30" s="16">
        <f>IF(Q29&lt;Assumptions!E43,(Q18+Q19)*Assumptions!E41,(Q18+Q19)*Assumptions!E42)</f>
        <v>12908.59989511323</v>
      </c>
      <c r="R30" s="16">
        <f>IF(R29&lt;Assumptions!E43,(R18+R19)*Assumptions!E41,(R18+R19)*Assumptions!E42)</f>
        <v>14575.47820843583</v>
      </c>
      <c r="S30" s="16">
        <f>IF(S29&lt;Assumptions!E43,(S18+S19)*Assumptions!E41,(S18+S19)*Assumptions!E42)</f>
        <v>16341.248546726387</v>
      </c>
      <c r="T30" s="16">
        <f>IF(T29&lt;Assumptions!E43,(T18+T19)*Assumptions!E41,(T18+T19)*Assumptions!E42)</f>
        <v>18232.371211041645</v>
      </c>
      <c r="U30" s="16">
        <f>IF(U29&lt;Assumptions!E43,(U18+U19)*Assumptions!E41,(U18+U19)*Assumptions!E42)</f>
        <v>40560.529968932518</v>
      </c>
      <c r="V30" s="16">
        <f>IF(V29&lt;Assumptions!E43,(V18+V19)*Assumptions!E41,(V18+V19)*Assumptions!E42)</f>
        <v>45044.69064246746</v>
      </c>
      <c r="W30" s="16">
        <f>IF(W29&lt;Assumptions!E43,(W18+W19)*Assumptions!E41,(W18+W19)*Assumptions!E42)</f>
        <v>50006.539565940191</v>
      </c>
      <c r="X30" s="16">
        <f>IF(X29&lt;Assumptions!E43,(X18+X19)*Assumptions!E41,(X18+X19)*Assumptions!E42)</f>
        <v>55552.866242898184</v>
      </c>
      <c r="Y30" s="16">
        <f>IF(Y29&lt;Assumptions!E43,(Y18+Y19)*Assumptions!E41,(Y18+Y19)*Assumptions!E42)</f>
        <v>61797.255110284954</v>
      </c>
      <c r="Z30" s="16">
        <f>IF(Z29&lt;Assumptions!E43,(Z18+Z19)*Assumptions!E41,(Z18+Z19)*Assumptions!E42)</f>
        <v>69781.619572768701</v>
      </c>
      <c r="AA30" s="16">
        <f>IF(AA29&lt;Assumptions!E43,(AA18+AA19)*Assumptions!E41,(AA18+AA19)*Assumptions!E42)</f>
        <v>79692.622297281618</v>
      </c>
      <c r="AB30" s="16">
        <f>IF(AB29&lt;Assumptions!E43,(AB18+AB19)*Assumptions!E41,(AB18+AB19)*Assumptions!E42)</f>
        <v>90849.646233465261</v>
      </c>
      <c r="AC30" s="16">
        <f>IF(AC29&lt;Assumptions!E43,(AC18+AC19)*Assumptions!E41,(AC18+AC19)*Assumptions!E42)</f>
        <v>103515.03321837061</v>
      </c>
      <c r="AD30" s="16">
        <f>IF(AD29&lt;Assumptions!E43,(AD18+AD19)*Assumptions!E41,(AD18+AD19)*Assumptions!E42)</f>
        <v>118003.69145680778</v>
      </c>
      <c r="AE30" s="16">
        <f>IF(AE29&lt;Assumptions!E43,(AE18+AE19)*Assumptions!E41,(AE18+AE19)*Assumptions!E42)</f>
        <v>134693.57878783683</v>
      </c>
      <c r="AF30" s="16">
        <f>IF(AF29&lt;Assumptions!E43,(AF18+AF19)*Assumptions!E41,(AF18+AF19)*Assumptions!E42)</f>
        <v>154038.28499345644</v>
      </c>
      <c r="AG30" s="16">
        <f>IF(AG29&lt;Assumptions!E43,(AG18+AG19)*Assumptions!E41,(AG18+AG19)*Assumptions!E42)</f>
        <v>176582.13280438524</v>
      </c>
      <c r="AH30" s="16">
        <f>IF(AH29&lt;Assumptions!E43,(AH18+AH19)*Assumptions!E41,(AH18+AH19)*Assumptions!E42)</f>
        <v>202978.30119791848</v>
      </c>
      <c r="AI30" s="16">
        <f>IF(AI29&lt;Assumptions!E43,(AI18+AI19)*Assumptions!E41,(AI18+AI19)*Assumptions!E42)</f>
        <v>234010.57531042994</v>
      </c>
      <c r="AJ30" s="16">
        <f>IF(AJ29&lt;Assumptions!E43,(AJ18+AJ19)*Assumptions!E41,(AJ18+AJ19)*Assumptions!E42)</f>
        <v>270619.44815969677</v>
      </c>
      <c r="AK30" s="16">
        <f>IF(AK29&lt;Assumptions!E43,(AK18+AK19)*Assumptions!E41,(AK18+AK19)*Assumptions!E42)</f>
        <v>313933.44441889698</v>
      </c>
      <c r="AL30" s="16">
        <f t="shared" ref="AL30:AL42" si="9">SUM(B30:M30)</f>
        <v>35710.300410217948</v>
      </c>
      <c r="AM30" s="16">
        <f t="shared" ref="AM30:AM42" si="10">SUM(N30:Y30)</f>
        <v>344417.11494348577</v>
      </c>
      <c r="AN30" s="16">
        <f t="shared" ref="AN30:AN42" si="11">SUM(Z30:AK30)</f>
        <v>1948698.3784513148</v>
      </c>
      <c r="AO30" t="s">
        <v>80</v>
      </c>
    </row>
    <row r="31" spans="1:41" ht="15" customHeight="1" x14ac:dyDescent="0.2">
      <c r="A31" s="3" t="s">
        <v>81</v>
      </c>
      <c r="B31" s="16">
        <f>B20*Assumptions!E44</f>
        <v>0</v>
      </c>
      <c r="C31" s="16">
        <f>C20*Assumptions!E44</f>
        <v>0</v>
      </c>
      <c r="D31" s="16">
        <f>D20*Assumptions!E44</f>
        <v>0</v>
      </c>
      <c r="E31" s="16">
        <f>E20*Assumptions!E44</f>
        <v>0</v>
      </c>
      <c r="F31" s="16">
        <f>F20*Assumptions!E44</f>
        <v>0</v>
      </c>
      <c r="G31" s="16">
        <f>G20*Assumptions!E44</f>
        <v>19.551000000000002</v>
      </c>
      <c r="H31" s="16">
        <f>H20*Assumptions!E44</f>
        <v>38.839000983970955</v>
      </c>
      <c r="I31" s="16">
        <f>I20*Assumptions!E44</f>
        <v>57.867540800740663</v>
      </c>
      <c r="J31" s="16">
        <f>J20*Assumptions!E44</f>
        <v>76.640109708181924</v>
      </c>
      <c r="K31" s="16">
        <f>K20*Assumptions!E44</f>
        <v>95.160151013403663</v>
      </c>
      <c r="L31" s="16">
        <f>L20*Assumptions!E44</f>
        <v>113.43106170432991</v>
      </c>
      <c r="M31" s="16">
        <f>M20*Assumptions!E44</f>
        <v>131.45619307278324</v>
      </c>
      <c r="N31" s="16">
        <f>N20*Assumptions!E44</f>
        <v>272.47444309820173</v>
      </c>
      <c r="O31" s="16">
        <f>O20*Assumptions!E44</f>
        <v>346.58928132755625</v>
      </c>
      <c r="P31" s="16">
        <f>P20*Assumptions!E44</f>
        <v>419.70713068025623</v>
      </c>
      <c r="Q31" s="16">
        <f>Q20*Assumptions!E44</f>
        <v>491.84140259784192</v>
      </c>
      <c r="R31" s="16">
        <f>R20*Assumptions!E44</f>
        <v>563.00532811185246</v>
      </c>
      <c r="S31" s="16">
        <f>S20*Assumptions!E44</f>
        <v>633.21196027069197</v>
      </c>
      <c r="T31" s="16">
        <f>T20*Assumptions!E44</f>
        <v>702.474176533849</v>
      </c>
      <c r="U31" s="16">
        <f>U20*Assumptions!E44</f>
        <v>770.80468113390941</v>
      </c>
      <c r="V31" s="16">
        <f>V20*Assumptions!E44</f>
        <v>838.21600740679548</v>
      </c>
      <c r="W31" s="16">
        <f>W20*Assumptions!E44</f>
        <v>904.72052009065897</v>
      </c>
      <c r="X31" s="16">
        <f>X20*Assumptions!E44</f>
        <v>970.33041759384901</v>
      </c>
      <c r="Y31" s="16">
        <f>Y20*Assumptions!E44</f>
        <v>1035.0577342323718</v>
      </c>
      <c r="Z31" s="16">
        <f>Z20*Assumptions!E44</f>
        <v>1073.9659924372529</v>
      </c>
      <c r="AA31" s="16">
        <f>AA20*Assumptions!E44</f>
        <v>1112.350858814438</v>
      </c>
      <c r="AB31" s="16">
        <f>AB20*Assumptions!E44</f>
        <v>1150.2193740030591</v>
      </c>
      <c r="AC31" s="16">
        <f>AC20*Assumptions!E44</f>
        <v>1187.5784839319449</v>
      </c>
      <c r="AD31" s="16">
        <f>AD20*Assumptions!E44</f>
        <v>1224.4350410936568</v>
      </c>
      <c r="AE31" s="16">
        <f>AE20*Assumptions!E44</f>
        <v>1260.7958058013894</v>
      </c>
      <c r="AF31" s="16">
        <f>AF20*Assumptions!E44</f>
        <v>1296.6674474289628</v>
      </c>
      <c r="AG31" s="16">
        <f>AG20*Assumptions!E44</f>
        <v>1332.056545634133</v>
      </c>
      <c r="AH31" s="16">
        <f>AH20*Assumptions!E44</f>
        <v>1366.9695915654495</v>
      </c>
      <c r="AI31" s="16">
        <f>AI20*Assumptions!E44</f>
        <v>1401.4129890528752</v>
      </c>
      <c r="AJ31" s="16">
        <f>AJ20*Assumptions!E44</f>
        <v>1435.3930557823912</v>
      </c>
      <c r="AK31" s="16">
        <f>AK20*Assumptions!E44</f>
        <v>1468.9160244548018</v>
      </c>
      <c r="AL31" s="16">
        <f t="shared" si="9"/>
        <v>532.94505728341039</v>
      </c>
      <c r="AM31" s="16">
        <f t="shared" si="10"/>
        <v>7948.4330830778345</v>
      </c>
      <c r="AN31" s="16">
        <f t="shared" si="11"/>
        <v>15310.761210000355</v>
      </c>
    </row>
    <row r="32" spans="1:41" ht="15" customHeight="1" x14ac:dyDescent="0.2">
      <c r="A32" s="3" t="s">
        <v>82</v>
      </c>
      <c r="B32" s="16">
        <f>0</f>
        <v>0</v>
      </c>
      <c r="C32" s="16">
        <f>0</f>
        <v>0</v>
      </c>
      <c r="D32" s="16">
        <f>0</f>
        <v>0</v>
      </c>
      <c r="E32" s="16">
        <f>0</f>
        <v>0</v>
      </c>
      <c r="F32" s="16">
        <f>0</f>
        <v>0</v>
      </c>
      <c r="G32" s="16">
        <f>MIN(Assumptions!E48,Assumptions!E46+(G15/500)*Assumptions!E47)</f>
        <v>809.11886998148771</v>
      </c>
      <c r="H32" s="16">
        <f>MIN(Assumptions!E48,Assumptions!E46+(H15/500)*Assumptions!E47)</f>
        <v>951.47740307998299</v>
      </c>
      <c r="I32" s="16">
        <f>MIN(Assumptions!E48,Assumptions!E46+(I15/500)*Assumptions!E47)</f>
        <v>1089.723377333074</v>
      </c>
      <c r="J32" s="16">
        <f>MIN(Assumptions!E48,Assumptions!E46+(J15/500)*Assumptions!E47)</f>
        <v>1224.9061842391511</v>
      </c>
      <c r="K32" s="16">
        <f>MIN(Assumptions!E48,Assumptions!E46+(K15/500)*Assumptions!E47)</f>
        <v>1358.129989444124</v>
      </c>
      <c r="L32" s="16">
        <f>MIN(Assumptions!E48,Assumptions!E46+(L15/500)*Assumptions!E47)</f>
        <v>1490.579207361493</v>
      </c>
      <c r="M32" s="16">
        <f>MIN(Assumptions!E48,Assumptions!E46+(M15/500)*Assumptions!E47)</f>
        <v>1623.5477622308688</v>
      </c>
      <c r="N32" s="16">
        <f>MIN(Assumptions!E48,Assumptions!E46+(N15/500)*Assumptions!E47)</f>
        <v>1887.3412612572338</v>
      </c>
      <c r="O32" s="16">
        <f>MIN(Assumptions!E48,Assumptions!E46+(O15/500)*Assumptions!E47)</f>
        <v>2151.2810764703072</v>
      </c>
      <c r="P32" s="16">
        <f>MIN(Assumptions!E48,Assumptions!E46+(P15/500)*Assumptions!E47)</f>
        <v>2417.4963085479403</v>
      </c>
      <c r="Q32" s="16">
        <f>MIN(Assumptions!E48,Assumptions!E46+(Q15/500)*Assumptions!E47)</f>
        <v>2688.3923624835461</v>
      </c>
      <c r="R32" s="16">
        <f>MIN(Assumptions!E48,Assumptions!E46+(R15/500)*Assumptions!E47)</f>
        <v>2966.7205595671662</v>
      </c>
      <c r="S32" s="16">
        <f>MIN(Assumptions!E48,Assumptions!E46+(S15/500)*Assumptions!E47)</f>
        <v>3255.6605569544336</v>
      </c>
      <c r="T32" s="16">
        <f>MIN(Assumptions!E48,Assumptions!E46+(T15/500)*Assumptions!E47)</f>
        <v>3500</v>
      </c>
      <c r="U32" s="16">
        <f>MIN(Assumptions!E48,Assumptions!E46+(U15/500)*Assumptions!E47)</f>
        <v>3500</v>
      </c>
      <c r="V32" s="16">
        <f>MIN(Assumptions!E48,Assumptions!E46+(V15/500)*Assumptions!E47)</f>
        <v>3500</v>
      </c>
      <c r="W32" s="16">
        <f>MIN(Assumptions!E48,Assumptions!E46+(W15/500)*Assumptions!E47)</f>
        <v>3500</v>
      </c>
      <c r="X32" s="16">
        <f>MIN(Assumptions!E48,Assumptions!E46+(X15/500)*Assumptions!E47)</f>
        <v>3500</v>
      </c>
      <c r="Y32" s="16">
        <f>MIN(Assumptions!E48,Assumptions!E46+(Y15/500)*Assumptions!E47)</f>
        <v>3500</v>
      </c>
      <c r="Z32" s="16">
        <f>MIN(Assumptions!E48,Assumptions!E46+(Z15/500)*Assumptions!E47)</f>
        <v>3500</v>
      </c>
      <c r="AA32" s="16">
        <f>MIN(Assumptions!E48,Assumptions!E46+(AA15/500)*Assumptions!E47)</f>
        <v>3500</v>
      </c>
      <c r="AB32" s="16">
        <f>MIN(Assumptions!E48,Assumptions!E46+(AB15/500)*Assumptions!E47)</f>
        <v>3500</v>
      </c>
      <c r="AC32" s="16">
        <f>MIN(Assumptions!E48,Assumptions!E46+(AC15/500)*Assumptions!E47)</f>
        <v>3500</v>
      </c>
      <c r="AD32" s="16">
        <f>MIN(Assumptions!E48,Assumptions!E46+(AD15/500)*Assumptions!E47)</f>
        <v>3500</v>
      </c>
      <c r="AE32" s="16">
        <f>MIN(Assumptions!E48,Assumptions!E46+(AE15/500)*Assumptions!E47)</f>
        <v>3500</v>
      </c>
      <c r="AF32" s="16">
        <f>MIN(Assumptions!E48,Assumptions!E46+(AF15/500)*Assumptions!E47)</f>
        <v>3500</v>
      </c>
      <c r="AG32" s="16">
        <f>MIN(Assumptions!E48,Assumptions!E46+(AG15/500)*Assumptions!E47)</f>
        <v>3500</v>
      </c>
      <c r="AH32" s="16">
        <f>MIN(Assumptions!E48,Assumptions!E46+(AH15/500)*Assumptions!E47)</f>
        <v>3500</v>
      </c>
      <c r="AI32" s="16">
        <f>MIN(Assumptions!E48,Assumptions!E46+(AI15/500)*Assumptions!E47)</f>
        <v>3500</v>
      </c>
      <c r="AJ32" s="16">
        <f>MIN(Assumptions!E48,Assumptions!E46+(AJ15/500)*Assumptions!E47)</f>
        <v>3500</v>
      </c>
      <c r="AK32" s="16">
        <f>MIN(Assumptions!E48,Assumptions!E46+(AK15/500)*Assumptions!E47)</f>
        <v>3500</v>
      </c>
      <c r="AL32" s="16">
        <f t="shared" si="9"/>
        <v>8547.4827936701822</v>
      </c>
      <c r="AM32" s="16">
        <f t="shared" si="10"/>
        <v>36366.892125280625</v>
      </c>
      <c r="AN32" s="16">
        <f t="shared" si="11"/>
        <v>42000</v>
      </c>
    </row>
    <row r="33" spans="1:41" ht="15" customHeight="1" x14ac:dyDescent="0.2">
      <c r="A33" s="3" t="s">
        <v>83</v>
      </c>
      <c r="B33" s="16">
        <f>80</f>
        <v>80</v>
      </c>
      <c r="C33" s="16">
        <f>80</f>
        <v>80</v>
      </c>
      <c r="D33" s="16">
        <f>MIN(Assumptions!E71,Assumptions!E69+(D15/400)*Assumptions!E70)</f>
        <v>770.04292750000002</v>
      </c>
      <c r="E33" s="16">
        <f>MIN(Assumptions!E71,Assumptions!E69+(E15/400)*Assumptions!E70)</f>
        <v>1238.0697526242502</v>
      </c>
      <c r="F33" s="16">
        <f>MIN(Assumptions!E71,Assumptions!E69+(F15/400)*Assumptions!E70)</f>
        <v>1681.1151275942266</v>
      </c>
      <c r="G33" s="16">
        <f>MIN(Assumptions!E71,Assumptions!E69+(G15/400)*Assumptions!E70)</f>
        <v>2234.1957624305787</v>
      </c>
      <c r="H33" s="16">
        <f>MIN(Assumptions!E71,Assumptions!E69+(H15/400)*Assumptions!E70)</f>
        <v>2768.0402615499361</v>
      </c>
      <c r="I33" s="16">
        <f>MIN(Assumptions!E71,Assumptions!E69+(I15/400)*Assumptions!E70)</f>
        <v>3286.4626649990278</v>
      </c>
      <c r="J33" s="16">
        <f>MIN(Assumptions!E71,Assumptions!E69+(J15/400)*Assumptions!E70)</f>
        <v>3793.3981908968167</v>
      </c>
      <c r="K33" s="16">
        <f>MIN(Assumptions!E71,Assumptions!E69+(K15/400)*Assumptions!E70)</f>
        <v>4292.9874604154656</v>
      </c>
      <c r="L33" s="16">
        <f>MIN(Assumptions!E71,Assumptions!E69+(L15/400)*Assumptions!E70)</f>
        <v>4789.6720276055985</v>
      </c>
      <c r="M33" s="16">
        <f>MIN(Assumptions!E71,Assumptions!E69+(M15/400)*Assumptions!E70)</f>
        <v>5288.3041083657581</v>
      </c>
      <c r="N33" s="16">
        <f>MIN(Assumptions!E71,Assumptions!E69+(N15/400)*Assumptions!E70)</f>
        <v>6277.5297297146262</v>
      </c>
      <c r="O33" s="16">
        <f>MIN(Assumptions!E71,Assumptions!E69+(O15/400)*Assumptions!E70)</f>
        <v>7267.3040367636522</v>
      </c>
      <c r="P33" s="16">
        <f>MIN(Assumptions!E71,Assumptions!E69+(P15/400)*Assumptions!E70)</f>
        <v>8265.6111570547764</v>
      </c>
      <c r="Q33" s="16">
        <f>MIN(Assumptions!E71,Assumptions!E69+(Q15/400)*Assumptions!E70)</f>
        <v>9281.4713593132983</v>
      </c>
      <c r="R33" s="16">
        <f>MIN(Assumptions!E71,Assumptions!E69+(R15/400)*Assumptions!E70)</f>
        <v>10325.202098376874</v>
      </c>
      <c r="S33" s="16">
        <f>MIN(Assumptions!E71,Assumptions!E69+(S15/400)*Assumptions!E70)</f>
        <v>11408.727088579126</v>
      </c>
      <c r="T33" s="16">
        <f>MIN(Assumptions!E71,Assumptions!E69+(T15/400)*Assumptions!E70)</f>
        <v>12545.943644444222</v>
      </c>
      <c r="U33" s="16">
        <f>MIN(Assumptions!E71,Assumptions!E69+(U15/400)*Assumptions!E70)</f>
        <v>13753.160552655183</v>
      </c>
      <c r="V33" s="16">
        <f>MIN(Assumptions!E71,Assumptions!E69+(V15/400)*Assumptions!E70)</f>
        <v>15049.621180977823</v>
      </c>
      <c r="W33" s="16">
        <f>MIN(Assumptions!E71,Assumptions!E69+(W15/400)*Assumptions!E70)</f>
        <v>16458.129472076835</v>
      </c>
      <c r="X33" s="16">
        <f>MIN(Assumptions!E71,Assumptions!E69+(X15/400)*Assumptions!E70)</f>
        <v>18000</v>
      </c>
      <c r="Y33" s="16">
        <f>MIN(Assumptions!E71,Assumptions!E69+(Y15/400)*Assumptions!E70)</f>
        <v>18000</v>
      </c>
      <c r="Z33" s="16">
        <f>MIN(Assumptions!E71,Assumptions!E69+(Z15/400)*Assumptions!E70)</f>
        <v>18000</v>
      </c>
      <c r="AA33" s="16">
        <f>MIN(Assumptions!E71,Assumptions!E69+(AA15/400)*Assumptions!E70)</f>
        <v>18000</v>
      </c>
      <c r="AB33" s="16">
        <f>MIN(Assumptions!E71,Assumptions!E69+(AB15/400)*Assumptions!E70)</f>
        <v>18000</v>
      </c>
      <c r="AC33" s="16">
        <f>MIN(Assumptions!E71,Assumptions!E69+(AC15/400)*Assumptions!E70)</f>
        <v>18000</v>
      </c>
      <c r="AD33" s="16">
        <f>MIN(Assumptions!E71,Assumptions!E69+(AD15/400)*Assumptions!E70)</f>
        <v>18000</v>
      </c>
      <c r="AE33" s="16">
        <f>MIN(Assumptions!E71,Assumptions!E69+(AE15/400)*Assumptions!E70)</f>
        <v>18000</v>
      </c>
      <c r="AF33" s="16">
        <f>MIN(Assumptions!E71,Assumptions!E69+(AF15/400)*Assumptions!E70)</f>
        <v>18000</v>
      </c>
      <c r="AG33" s="16">
        <f>MIN(Assumptions!E71,Assumptions!E69+(AG15/400)*Assumptions!E70)</f>
        <v>18000</v>
      </c>
      <c r="AH33" s="16">
        <f>MIN(Assumptions!E71,Assumptions!E69+(AH15/400)*Assumptions!E70)</f>
        <v>18000</v>
      </c>
      <c r="AI33" s="16">
        <f>MIN(Assumptions!E71,Assumptions!E69+(AI15/400)*Assumptions!E70)</f>
        <v>18000</v>
      </c>
      <c r="AJ33" s="16">
        <f>MIN(Assumptions!E71,Assumptions!E69+(AJ15/400)*Assumptions!E70)</f>
        <v>18000</v>
      </c>
      <c r="AK33" s="16">
        <f>MIN(Assumptions!E71,Assumptions!E69+(AK15/400)*Assumptions!E70)</f>
        <v>18000</v>
      </c>
      <c r="AL33" s="16">
        <f t="shared" si="9"/>
        <v>30302.288283981659</v>
      </c>
      <c r="AM33" s="16">
        <f t="shared" si="10"/>
        <v>146632.70031995641</v>
      </c>
      <c r="AN33" s="16">
        <f t="shared" si="11"/>
        <v>216000</v>
      </c>
    </row>
    <row r="34" spans="1:41" ht="15" customHeight="1" x14ac:dyDescent="0.2">
      <c r="A34" s="3" t="s">
        <v>84</v>
      </c>
      <c r="B34" s="16">
        <f>Assumptions!E54</f>
        <v>900</v>
      </c>
      <c r="C34" s="16">
        <f>Assumptions!E54</f>
        <v>900</v>
      </c>
      <c r="D34" s="16">
        <f>Assumptions!E54</f>
        <v>900</v>
      </c>
      <c r="E34" s="16">
        <f>Assumptions!E54</f>
        <v>900</v>
      </c>
      <c r="F34" s="16">
        <f>Assumptions!E54</f>
        <v>900</v>
      </c>
      <c r="G34" s="16">
        <f>Assumptions!E54</f>
        <v>900</v>
      </c>
      <c r="H34" s="16">
        <f>Assumptions!E54</f>
        <v>900</v>
      </c>
      <c r="I34" s="16">
        <f>Assumptions!E54</f>
        <v>900</v>
      </c>
      <c r="J34" s="16">
        <f>Assumptions!E54</f>
        <v>900</v>
      </c>
      <c r="K34" s="16">
        <f>Assumptions!E54</f>
        <v>900</v>
      </c>
      <c r="L34" s="16">
        <f>Assumptions!E54</f>
        <v>900</v>
      </c>
      <c r="M34" s="16">
        <f>Assumptions!E54</f>
        <v>900</v>
      </c>
      <c r="N34" s="16">
        <f>Assumptions!E55</f>
        <v>9000</v>
      </c>
      <c r="O34" s="16">
        <f>Assumptions!E55</f>
        <v>9000</v>
      </c>
      <c r="P34" s="16">
        <f>Assumptions!E55</f>
        <v>9000</v>
      </c>
      <c r="Q34" s="16">
        <f>Assumptions!E55</f>
        <v>9000</v>
      </c>
      <c r="R34" s="16">
        <f>Assumptions!E55</f>
        <v>9000</v>
      </c>
      <c r="S34" s="16">
        <f>Assumptions!E55</f>
        <v>9000</v>
      </c>
      <c r="T34" s="16">
        <f>Assumptions!E55</f>
        <v>9000</v>
      </c>
      <c r="U34" s="16">
        <f>Assumptions!E55</f>
        <v>9000</v>
      </c>
      <c r="V34" s="16">
        <f>Assumptions!E55</f>
        <v>9000</v>
      </c>
      <c r="W34" s="16">
        <f>Assumptions!E55</f>
        <v>9000</v>
      </c>
      <c r="X34" s="16">
        <f>Assumptions!E55</f>
        <v>9000</v>
      </c>
      <c r="Y34" s="16">
        <f>Assumptions!E55</f>
        <v>9000</v>
      </c>
      <c r="Z34" s="16">
        <f>Assumptions!E76</f>
        <v>12000</v>
      </c>
      <c r="AA34" s="16">
        <f>Assumptions!E76</f>
        <v>12000</v>
      </c>
      <c r="AB34" s="16">
        <f>Assumptions!E76</f>
        <v>12000</v>
      </c>
      <c r="AC34" s="16">
        <f>Assumptions!E76</f>
        <v>12000</v>
      </c>
      <c r="AD34" s="16">
        <f>Assumptions!E76</f>
        <v>12000</v>
      </c>
      <c r="AE34" s="16">
        <f>Assumptions!E76</f>
        <v>12000</v>
      </c>
      <c r="AF34" s="16">
        <f>Assumptions!E76</f>
        <v>12000</v>
      </c>
      <c r="AG34" s="16">
        <f>Assumptions!E76</f>
        <v>12000</v>
      </c>
      <c r="AH34" s="16">
        <f>Assumptions!E76</f>
        <v>12000</v>
      </c>
      <c r="AI34" s="16">
        <f>Assumptions!E76</f>
        <v>12000</v>
      </c>
      <c r="AJ34" s="16">
        <f>Assumptions!E76</f>
        <v>12000</v>
      </c>
      <c r="AK34" s="16">
        <f>Assumptions!E76</f>
        <v>12000</v>
      </c>
      <c r="AL34" s="16">
        <f t="shared" si="9"/>
        <v>10800</v>
      </c>
      <c r="AM34" s="16">
        <f t="shared" si="10"/>
        <v>108000</v>
      </c>
      <c r="AN34" s="16">
        <f t="shared" si="11"/>
        <v>144000</v>
      </c>
    </row>
    <row r="35" spans="1:41" ht="15" customHeight="1" x14ac:dyDescent="0.2">
      <c r="A35" s="3" t="s">
        <v>85</v>
      </c>
      <c r="B35" s="16">
        <f>0</f>
        <v>0</v>
      </c>
      <c r="C35" s="16">
        <f>0</f>
        <v>0</v>
      </c>
      <c r="D35" s="16">
        <f>Assumptions!E56</f>
        <v>7000</v>
      </c>
      <c r="E35" s="16">
        <f>Assumptions!E56</f>
        <v>7000</v>
      </c>
      <c r="F35" s="16">
        <f>Assumptions!E56</f>
        <v>7000</v>
      </c>
      <c r="G35" s="16">
        <f>Assumptions!E56</f>
        <v>7000</v>
      </c>
      <c r="H35" s="16">
        <f>Assumptions!E57</f>
        <v>13000</v>
      </c>
      <c r="I35" s="16">
        <f>Assumptions!E57</f>
        <v>13000</v>
      </c>
      <c r="J35" s="16">
        <f>Assumptions!E57</f>
        <v>13000</v>
      </c>
      <c r="K35" s="16">
        <f>Assumptions!E57</f>
        <v>13000</v>
      </c>
      <c r="L35" s="16">
        <f>Assumptions!E57</f>
        <v>13000</v>
      </c>
      <c r="M35" s="16">
        <f>Assumptions!E57</f>
        <v>13000</v>
      </c>
      <c r="N35" s="16">
        <f>Assumptions!E58</f>
        <v>46000</v>
      </c>
      <c r="O35" s="16">
        <f>Assumptions!E58</f>
        <v>46000</v>
      </c>
      <c r="P35" s="16">
        <f>Assumptions!E58</f>
        <v>46000</v>
      </c>
      <c r="Q35" s="16">
        <f>Assumptions!E58</f>
        <v>46000</v>
      </c>
      <c r="R35" s="16">
        <f>Assumptions!E58</f>
        <v>46000</v>
      </c>
      <c r="S35" s="16">
        <f>Assumptions!E58</f>
        <v>46000</v>
      </c>
      <c r="T35" s="16">
        <f>Assumptions!E58</f>
        <v>46000</v>
      </c>
      <c r="U35" s="16">
        <f>Assumptions!E58</f>
        <v>46000</v>
      </c>
      <c r="V35" s="16">
        <f>Assumptions!E58</f>
        <v>46000</v>
      </c>
      <c r="W35" s="16">
        <f>Assumptions!E58</f>
        <v>46000</v>
      </c>
      <c r="X35" s="16">
        <f>Assumptions!E58</f>
        <v>46000</v>
      </c>
      <c r="Y35" s="16">
        <f>Assumptions!E58</f>
        <v>46000</v>
      </c>
      <c r="Z35" s="16">
        <f>Assumptions!E59</f>
        <v>105000</v>
      </c>
      <c r="AA35" s="16">
        <f>Assumptions!E59</f>
        <v>105000</v>
      </c>
      <c r="AB35" s="16">
        <f>Assumptions!E59</f>
        <v>105000</v>
      </c>
      <c r="AC35" s="16">
        <f>Assumptions!E59</f>
        <v>105000</v>
      </c>
      <c r="AD35" s="16">
        <f>Assumptions!E59</f>
        <v>105000</v>
      </c>
      <c r="AE35" s="16">
        <f>Assumptions!E59</f>
        <v>105000</v>
      </c>
      <c r="AF35" s="16">
        <f>Assumptions!E59</f>
        <v>105000</v>
      </c>
      <c r="AG35" s="16">
        <f>Assumptions!E59</f>
        <v>105000</v>
      </c>
      <c r="AH35" s="16">
        <f>Assumptions!E59</f>
        <v>105000</v>
      </c>
      <c r="AI35" s="16">
        <f>Assumptions!E59</f>
        <v>105000</v>
      </c>
      <c r="AJ35" s="16">
        <f>Assumptions!E59</f>
        <v>105000</v>
      </c>
      <c r="AK35" s="16">
        <f>Assumptions!E59</f>
        <v>105000</v>
      </c>
      <c r="AL35" s="16">
        <f t="shared" si="9"/>
        <v>106000</v>
      </c>
      <c r="AM35" s="16">
        <f t="shared" si="10"/>
        <v>552000</v>
      </c>
      <c r="AN35" s="16">
        <f t="shared" si="11"/>
        <v>1260000</v>
      </c>
    </row>
    <row r="36" spans="1:41" ht="15" customHeight="1" x14ac:dyDescent="0.2">
      <c r="A36" s="3" t="s">
        <v>86</v>
      </c>
      <c r="B36" s="16">
        <f>Assumptions!E60</f>
        <v>2000</v>
      </c>
      <c r="C36" s="16">
        <f>Assumptions!E60</f>
        <v>2000</v>
      </c>
      <c r="D36" s="16">
        <f>Assumptions!E60</f>
        <v>2000</v>
      </c>
      <c r="E36" s="16">
        <f>Assumptions!E60+Assumptions!E12</f>
        <v>16000</v>
      </c>
      <c r="F36" s="16">
        <f>Assumptions!E60+Assumptions!E12</f>
        <v>16000</v>
      </c>
      <c r="G36" s="16">
        <f>Assumptions!E60+Assumptions!E12</f>
        <v>16000</v>
      </c>
      <c r="H36" s="16">
        <f>Assumptions!E60+Assumptions!E12</f>
        <v>16000</v>
      </c>
      <c r="I36" s="16">
        <f>Assumptions!E60+Assumptions!E12</f>
        <v>16000</v>
      </c>
      <c r="J36" s="16">
        <f>Assumptions!E60+Assumptions!E12</f>
        <v>16000</v>
      </c>
      <c r="K36" s="16">
        <f>Assumptions!E60+Assumptions!E12</f>
        <v>16000</v>
      </c>
      <c r="L36" s="16">
        <f>Assumptions!E60+Assumptions!E12</f>
        <v>16000</v>
      </c>
      <c r="M36" s="16">
        <f>Assumptions!E60+Assumptions!E12</f>
        <v>16000</v>
      </c>
      <c r="N36" s="16">
        <f>Assumptions!E61+Assumptions!E13</f>
        <v>28000</v>
      </c>
      <c r="O36" s="16">
        <f>Assumptions!E61+Assumptions!E13</f>
        <v>28000</v>
      </c>
      <c r="P36" s="16">
        <f>Assumptions!E61+Assumptions!E13</f>
        <v>28000</v>
      </c>
      <c r="Q36" s="16">
        <f>Assumptions!E61+Assumptions!E13</f>
        <v>28000</v>
      </c>
      <c r="R36" s="16">
        <f>Assumptions!E61+Assumptions!E13</f>
        <v>28000</v>
      </c>
      <c r="S36" s="16">
        <f>Assumptions!E61+Assumptions!E13</f>
        <v>28000</v>
      </c>
      <c r="T36" s="16">
        <f>Assumptions!E61+Assumptions!E13</f>
        <v>28000</v>
      </c>
      <c r="U36" s="16">
        <f>Assumptions!E61+Assumptions!E13</f>
        <v>28000</v>
      </c>
      <c r="V36" s="16">
        <f>Assumptions!E61+Assumptions!E13</f>
        <v>28000</v>
      </c>
      <c r="W36" s="16">
        <f>Assumptions!E61+Assumptions!E13</f>
        <v>28000</v>
      </c>
      <c r="X36" s="16">
        <f>Assumptions!E61+Assumptions!E13</f>
        <v>28000</v>
      </c>
      <c r="Y36" s="16">
        <f>Assumptions!E61+Assumptions!E13</f>
        <v>28000</v>
      </c>
      <c r="Z36" s="16">
        <f>Assumptions!E62+Assumptions!E14</f>
        <v>42000</v>
      </c>
      <c r="AA36" s="16">
        <f>Assumptions!E62+Assumptions!E14</f>
        <v>42000</v>
      </c>
      <c r="AB36" s="16">
        <f>Assumptions!E62+Assumptions!E14</f>
        <v>42000</v>
      </c>
      <c r="AC36" s="16">
        <f>Assumptions!E62+Assumptions!E14</f>
        <v>42000</v>
      </c>
      <c r="AD36" s="16">
        <f>Assumptions!E62+Assumptions!E14</f>
        <v>42000</v>
      </c>
      <c r="AE36" s="16">
        <f>Assumptions!E62+Assumptions!E14</f>
        <v>42000</v>
      </c>
      <c r="AF36" s="16">
        <f>Assumptions!E62+Assumptions!E14</f>
        <v>42000</v>
      </c>
      <c r="AG36" s="16">
        <f>Assumptions!E62+Assumptions!E14</f>
        <v>42000</v>
      </c>
      <c r="AH36" s="16">
        <f>Assumptions!E62+Assumptions!E14</f>
        <v>42000</v>
      </c>
      <c r="AI36" s="16">
        <f>Assumptions!E62+Assumptions!E14</f>
        <v>42000</v>
      </c>
      <c r="AJ36" s="16">
        <f>Assumptions!E62+Assumptions!E14</f>
        <v>42000</v>
      </c>
      <c r="AK36" s="16">
        <f>Assumptions!E62+Assumptions!E14</f>
        <v>42000</v>
      </c>
      <c r="AL36" s="16">
        <f t="shared" si="9"/>
        <v>150000</v>
      </c>
      <c r="AM36" s="16">
        <f t="shared" si="10"/>
        <v>336000</v>
      </c>
      <c r="AN36" s="16">
        <f t="shared" si="11"/>
        <v>504000</v>
      </c>
    </row>
    <row r="37" spans="1:41" ht="15" customHeight="1" x14ac:dyDescent="0.2">
      <c r="A37" s="3" t="s">
        <v>87</v>
      </c>
      <c r="B37" s="16">
        <f>0</f>
        <v>0</v>
      </c>
      <c r="C37" s="16">
        <f>0</f>
        <v>0</v>
      </c>
      <c r="D37" s="16">
        <f>Assumptions!E63</f>
        <v>900</v>
      </c>
      <c r="E37" s="16">
        <f>Assumptions!E63</f>
        <v>900</v>
      </c>
      <c r="F37" s="16">
        <f>Assumptions!E63</f>
        <v>900</v>
      </c>
      <c r="G37" s="16">
        <f>Assumptions!E63</f>
        <v>900</v>
      </c>
      <c r="H37" s="16">
        <f>Assumptions!E63</f>
        <v>900</v>
      </c>
      <c r="I37" s="16">
        <f>Assumptions!E63</f>
        <v>900</v>
      </c>
      <c r="J37" s="16">
        <f>Assumptions!E63</f>
        <v>900</v>
      </c>
      <c r="K37" s="16">
        <f>Assumptions!E63</f>
        <v>900</v>
      </c>
      <c r="L37" s="16">
        <f>Assumptions!E63</f>
        <v>900</v>
      </c>
      <c r="M37" s="16">
        <f>Assumptions!E63</f>
        <v>900</v>
      </c>
      <c r="N37" s="16">
        <f>Assumptions!E64</f>
        <v>1500</v>
      </c>
      <c r="O37" s="16">
        <f>Assumptions!E64</f>
        <v>1500</v>
      </c>
      <c r="P37" s="16">
        <f>Assumptions!E64</f>
        <v>1500</v>
      </c>
      <c r="Q37" s="16">
        <f>Assumptions!E64</f>
        <v>1500</v>
      </c>
      <c r="R37" s="16">
        <f>Assumptions!E64</f>
        <v>1500</v>
      </c>
      <c r="S37" s="16">
        <f>Assumptions!E64</f>
        <v>1500</v>
      </c>
      <c r="T37" s="16">
        <f>Assumptions!E64</f>
        <v>1500</v>
      </c>
      <c r="U37" s="16">
        <f>Assumptions!E64</f>
        <v>1500</v>
      </c>
      <c r="V37" s="16">
        <f>Assumptions!E64</f>
        <v>1500</v>
      </c>
      <c r="W37" s="16">
        <f>Assumptions!E64</f>
        <v>1500</v>
      </c>
      <c r="X37" s="16">
        <f>Assumptions!E64</f>
        <v>1500</v>
      </c>
      <c r="Y37" s="16">
        <f>Assumptions!E64</f>
        <v>1500</v>
      </c>
      <c r="Z37" s="16">
        <f>Assumptions!E65</f>
        <v>2200</v>
      </c>
      <c r="AA37" s="16">
        <f>Assumptions!E65</f>
        <v>2200</v>
      </c>
      <c r="AB37" s="16">
        <f>Assumptions!E65</f>
        <v>2200</v>
      </c>
      <c r="AC37" s="16">
        <f>Assumptions!E65</f>
        <v>2200</v>
      </c>
      <c r="AD37" s="16">
        <f>Assumptions!E65</f>
        <v>2200</v>
      </c>
      <c r="AE37" s="16">
        <f>Assumptions!E65</f>
        <v>2200</v>
      </c>
      <c r="AF37" s="16">
        <f>Assumptions!E65</f>
        <v>2200</v>
      </c>
      <c r="AG37" s="16">
        <f>Assumptions!E65</f>
        <v>2200</v>
      </c>
      <c r="AH37" s="16">
        <f>Assumptions!E65</f>
        <v>2200</v>
      </c>
      <c r="AI37" s="16">
        <f>Assumptions!E65</f>
        <v>2200</v>
      </c>
      <c r="AJ37" s="16">
        <f>Assumptions!E65</f>
        <v>2200</v>
      </c>
      <c r="AK37" s="16">
        <f>Assumptions!E65</f>
        <v>2200</v>
      </c>
      <c r="AL37" s="16">
        <f t="shared" si="9"/>
        <v>9000</v>
      </c>
      <c r="AM37" s="16">
        <f t="shared" si="10"/>
        <v>18000</v>
      </c>
      <c r="AN37" s="16">
        <f t="shared" si="11"/>
        <v>26400</v>
      </c>
    </row>
    <row r="38" spans="1:41" ht="15" customHeight="1" x14ac:dyDescent="0.2">
      <c r="A38" s="3" t="s">
        <v>88</v>
      </c>
      <c r="B38" s="16">
        <f>Assumptions!E66</f>
        <v>800</v>
      </c>
      <c r="C38" s="16">
        <f>Assumptions!E66</f>
        <v>800</v>
      </c>
      <c r="D38" s="16">
        <f>Assumptions!E66</f>
        <v>800</v>
      </c>
      <c r="E38" s="16">
        <f>Assumptions!E67</f>
        <v>350</v>
      </c>
      <c r="F38" s="16">
        <f>Assumptions!E67</f>
        <v>350</v>
      </c>
      <c r="G38" s="16">
        <f>Assumptions!E67</f>
        <v>350</v>
      </c>
      <c r="H38" s="16">
        <f>Assumptions!E67</f>
        <v>350</v>
      </c>
      <c r="I38" s="16">
        <f>Assumptions!E67</f>
        <v>350</v>
      </c>
      <c r="J38" s="16">
        <f>Assumptions!E67</f>
        <v>350</v>
      </c>
      <c r="K38" s="16">
        <f>Assumptions!E67</f>
        <v>350</v>
      </c>
      <c r="L38" s="16">
        <f>Assumptions!E67</f>
        <v>350</v>
      </c>
      <c r="M38" s="16">
        <f>Assumptions!E67</f>
        <v>350</v>
      </c>
      <c r="N38" s="16">
        <f>Assumptions!E67</f>
        <v>350</v>
      </c>
      <c r="O38" s="16">
        <f>Assumptions!E67</f>
        <v>350</v>
      </c>
      <c r="P38" s="16">
        <f>Assumptions!E67</f>
        <v>350</v>
      </c>
      <c r="Q38" s="16">
        <f>Assumptions!E67</f>
        <v>350</v>
      </c>
      <c r="R38" s="16">
        <f>Assumptions!E67</f>
        <v>350</v>
      </c>
      <c r="S38" s="16">
        <f>Assumptions!E67</f>
        <v>350</v>
      </c>
      <c r="T38" s="16">
        <f>Assumptions!E67</f>
        <v>350</v>
      </c>
      <c r="U38" s="16">
        <f>Assumptions!E67</f>
        <v>350</v>
      </c>
      <c r="V38" s="16">
        <f>Assumptions!E67</f>
        <v>350</v>
      </c>
      <c r="W38" s="16">
        <f>Assumptions!E67</f>
        <v>350</v>
      </c>
      <c r="X38" s="16">
        <f>Assumptions!E67</f>
        <v>350</v>
      </c>
      <c r="Y38" s="16">
        <f>Assumptions!E67</f>
        <v>350</v>
      </c>
      <c r="Z38" s="16">
        <f>Assumptions!E67</f>
        <v>350</v>
      </c>
      <c r="AA38" s="16">
        <f>Assumptions!E67</f>
        <v>350</v>
      </c>
      <c r="AB38" s="16">
        <f>Assumptions!E67</f>
        <v>350</v>
      </c>
      <c r="AC38" s="16">
        <f>Assumptions!E67</f>
        <v>350</v>
      </c>
      <c r="AD38" s="16">
        <f>Assumptions!E67</f>
        <v>350</v>
      </c>
      <c r="AE38" s="16">
        <f>Assumptions!E67</f>
        <v>350</v>
      </c>
      <c r="AF38" s="16">
        <f>Assumptions!E67</f>
        <v>350</v>
      </c>
      <c r="AG38" s="16">
        <f>Assumptions!E67</f>
        <v>350</v>
      </c>
      <c r="AH38" s="16">
        <f>Assumptions!E67</f>
        <v>350</v>
      </c>
      <c r="AI38" s="16">
        <f>Assumptions!E67</f>
        <v>350</v>
      </c>
      <c r="AJ38" s="16">
        <f>Assumptions!E67</f>
        <v>350</v>
      </c>
      <c r="AK38" s="16">
        <f>Assumptions!E67</f>
        <v>350</v>
      </c>
      <c r="AL38" s="16">
        <f t="shared" si="9"/>
        <v>5550</v>
      </c>
      <c r="AM38" s="16">
        <f t="shared" si="10"/>
        <v>4200</v>
      </c>
      <c r="AN38" s="16">
        <f t="shared" si="11"/>
        <v>4200</v>
      </c>
    </row>
    <row r="39" spans="1:41" ht="15" customHeight="1" x14ac:dyDescent="0.2">
      <c r="A39" s="3" t="s">
        <v>89</v>
      </c>
      <c r="B39" s="16">
        <f>0</f>
        <v>0</v>
      </c>
      <c r="C39" s="16">
        <f>0</f>
        <v>0</v>
      </c>
      <c r="D39" s="16">
        <f>0</f>
        <v>0</v>
      </c>
      <c r="E39" s="16">
        <f>Assumptions!E50/3</f>
        <v>2666.6666666666665</v>
      </c>
      <c r="F39" s="16">
        <f>Assumptions!E50/3</f>
        <v>2666.6666666666665</v>
      </c>
      <c r="G39" s="16">
        <f>Assumptions!E50/3</f>
        <v>2666.6666666666665</v>
      </c>
      <c r="H39" s="16">
        <f>0</f>
        <v>0</v>
      </c>
      <c r="I39" s="16">
        <f>0</f>
        <v>0</v>
      </c>
      <c r="J39" s="16">
        <f>0</f>
        <v>0</v>
      </c>
      <c r="K39" s="16">
        <f>0</f>
        <v>0</v>
      </c>
      <c r="L39" s="16">
        <f>0</f>
        <v>0</v>
      </c>
      <c r="M39" s="16">
        <f>0</f>
        <v>0</v>
      </c>
      <c r="N39" s="16">
        <f>0</f>
        <v>0</v>
      </c>
      <c r="O39" s="16">
        <f>0</f>
        <v>0</v>
      </c>
      <c r="P39" s="16">
        <f>0</f>
        <v>0</v>
      </c>
      <c r="Q39" s="16">
        <f>0</f>
        <v>0</v>
      </c>
      <c r="R39" s="16">
        <f>0</f>
        <v>0</v>
      </c>
      <c r="S39" s="16">
        <f>0</f>
        <v>0</v>
      </c>
      <c r="T39" s="16">
        <f>0</f>
        <v>0</v>
      </c>
      <c r="U39" s="16">
        <f>0</f>
        <v>0</v>
      </c>
      <c r="V39" s="16">
        <f>0</f>
        <v>0</v>
      </c>
      <c r="W39" s="16">
        <f>0</f>
        <v>0</v>
      </c>
      <c r="X39" s="16">
        <f>0</f>
        <v>0</v>
      </c>
      <c r="Y39" s="16">
        <f>0</f>
        <v>0</v>
      </c>
      <c r="Z39" s="16">
        <f>0</f>
        <v>0</v>
      </c>
      <c r="AA39" s="16">
        <f>0</f>
        <v>0</v>
      </c>
      <c r="AB39" s="16">
        <f>0</f>
        <v>0</v>
      </c>
      <c r="AC39" s="16">
        <f>0</f>
        <v>0</v>
      </c>
      <c r="AD39" s="16">
        <f>0</f>
        <v>0</v>
      </c>
      <c r="AE39" s="16">
        <f>0</f>
        <v>0</v>
      </c>
      <c r="AF39" s="16">
        <f>0</f>
        <v>0</v>
      </c>
      <c r="AG39" s="16">
        <f>0</f>
        <v>0</v>
      </c>
      <c r="AH39" s="16">
        <f>0</f>
        <v>0</v>
      </c>
      <c r="AI39" s="16">
        <f>0</f>
        <v>0</v>
      </c>
      <c r="AJ39" s="16">
        <f>0</f>
        <v>0</v>
      </c>
      <c r="AK39" s="16">
        <f>0</f>
        <v>0</v>
      </c>
      <c r="AL39" s="16">
        <f t="shared" si="9"/>
        <v>8000</v>
      </c>
      <c r="AM39" s="16">
        <f t="shared" si="10"/>
        <v>0</v>
      </c>
      <c r="AN39" s="16">
        <f t="shared" si="11"/>
        <v>0</v>
      </c>
    </row>
    <row r="40" spans="1:41" ht="15" customHeight="1" x14ac:dyDescent="0.2">
      <c r="A40" s="3" t="s">
        <v>90</v>
      </c>
      <c r="B40" s="16">
        <f>0</f>
        <v>0</v>
      </c>
      <c r="C40" s="16">
        <f>0</f>
        <v>0</v>
      </c>
      <c r="D40" s="16">
        <f>0</f>
        <v>0</v>
      </c>
      <c r="E40" s="16">
        <f>0</f>
        <v>0</v>
      </c>
      <c r="F40" s="16">
        <f>0</f>
        <v>0</v>
      </c>
      <c r="G40" s="16">
        <f>0</f>
        <v>0</v>
      </c>
      <c r="H40" s="16">
        <f>0</f>
        <v>0</v>
      </c>
      <c r="I40" s="16">
        <f>0</f>
        <v>0</v>
      </c>
      <c r="J40" s="16">
        <f>0</f>
        <v>0</v>
      </c>
      <c r="K40" s="16">
        <f>0</f>
        <v>0</v>
      </c>
      <c r="L40" s="16">
        <f>0</f>
        <v>0</v>
      </c>
      <c r="M40" s="16">
        <f>0</f>
        <v>0</v>
      </c>
      <c r="N40" s="16">
        <f>0</f>
        <v>0</v>
      </c>
      <c r="O40" s="16">
        <f>0</f>
        <v>0</v>
      </c>
      <c r="P40" s="16">
        <f>Assumptions!E51</f>
        <v>5000</v>
      </c>
      <c r="Q40" s="16">
        <f>0</f>
        <v>0</v>
      </c>
      <c r="R40" s="16">
        <f>0</f>
        <v>0</v>
      </c>
      <c r="S40" s="16">
        <f>0</f>
        <v>0</v>
      </c>
      <c r="T40" s="16">
        <f>0</f>
        <v>0</v>
      </c>
      <c r="U40" s="16">
        <f>0</f>
        <v>0</v>
      </c>
      <c r="V40" s="16">
        <f>0</f>
        <v>0</v>
      </c>
      <c r="W40" s="16">
        <f>0</f>
        <v>0</v>
      </c>
      <c r="X40" s="16">
        <f>0</f>
        <v>0</v>
      </c>
      <c r="Y40" s="16">
        <f>0</f>
        <v>0</v>
      </c>
      <c r="Z40" s="16">
        <f>0</f>
        <v>0</v>
      </c>
      <c r="AA40" s="16">
        <f>0</f>
        <v>0</v>
      </c>
      <c r="AB40" s="16">
        <f>0</f>
        <v>0</v>
      </c>
      <c r="AC40" s="16">
        <f>0</f>
        <v>0</v>
      </c>
      <c r="AD40" s="16">
        <f>0</f>
        <v>0</v>
      </c>
      <c r="AE40" s="16">
        <f>0</f>
        <v>0</v>
      </c>
      <c r="AF40" s="16">
        <f>0</f>
        <v>0</v>
      </c>
      <c r="AG40" s="16">
        <f>0</f>
        <v>0</v>
      </c>
      <c r="AH40" s="16">
        <f>0</f>
        <v>0</v>
      </c>
      <c r="AI40" s="16">
        <f>0</f>
        <v>0</v>
      </c>
      <c r="AJ40" s="16">
        <f>0</f>
        <v>0</v>
      </c>
      <c r="AK40" s="16">
        <f>0</f>
        <v>0</v>
      </c>
      <c r="AL40" s="16">
        <f t="shared" si="9"/>
        <v>0</v>
      </c>
      <c r="AM40" s="16">
        <f t="shared" si="10"/>
        <v>5000</v>
      </c>
      <c r="AN40" s="16">
        <f t="shared" si="11"/>
        <v>0</v>
      </c>
    </row>
    <row r="41" spans="1:41" ht="15" customHeight="1" x14ac:dyDescent="0.2">
      <c r="A41" s="3" t="s">
        <v>91</v>
      </c>
      <c r="B41" s="16">
        <f>0</f>
        <v>0</v>
      </c>
      <c r="C41" s="16">
        <f>0</f>
        <v>0</v>
      </c>
      <c r="D41" s="16">
        <f>0</f>
        <v>0</v>
      </c>
      <c r="E41" s="16">
        <f>0</f>
        <v>0</v>
      </c>
      <c r="F41" s="16">
        <f>0</f>
        <v>0</v>
      </c>
      <c r="G41" s="16">
        <f>0</f>
        <v>0</v>
      </c>
      <c r="H41" s="16">
        <f>0</f>
        <v>0</v>
      </c>
      <c r="I41" s="16">
        <f>0</f>
        <v>0</v>
      </c>
      <c r="J41" s="16">
        <f>0</f>
        <v>0</v>
      </c>
      <c r="K41" s="16">
        <f>0</f>
        <v>0</v>
      </c>
      <c r="L41" s="16">
        <f>0</f>
        <v>0</v>
      </c>
      <c r="M41" s="16">
        <f>0</f>
        <v>0</v>
      </c>
      <c r="N41" s="16">
        <f>0</f>
        <v>0</v>
      </c>
      <c r="O41" s="16">
        <f>0</f>
        <v>0</v>
      </c>
      <c r="P41" s="16">
        <f>0</f>
        <v>0</v>
      </c>
      <c r="Q41" s="16">
        <f>0</f>
        <v>0</v>
      </c>
      <c r="R41" s="16">
        <f>0</f>
        <v>0</v>
      </c>
      <c r="S41" s="16">
        <f>0</f>
        <v>0</v>
      </c>
      <c r="T41" s="16">
        <f>0</f>
        <v>0</v>
      </c>
      <c r="U41" s="16">
        <f>Assumptions!E52</f>
        <v>3000</v>
      </c>
      <c r="V41" s="16">
        <f>Assumptions!E52</f>
        <v>3000</v>
      </c>
      <c r="W41" s="16">
        <f>Assumptions!E52</f>
        <v>3000</v>
      </c>
      <c r="X41" s="16">
        <f>Assumptions!E52</f>
        <v>3000</v>
      </c>
      <c r="Y41" s="16">
        <f>0</f>
        <v>0</v>
      </c>
      <c r="Z41" s="16">
        <f>0</f>
        <v>0</v>
      </c>
      <c r="AA41" s="16">
        <f>0</f>
        <v>0</v>
      </c>
      <c r="AB41" s="16">
        <f>0</f>
        <v>0</v>
      </c>
      <c r="AC41" s="16">
        <f>0</f>
        <v>0</v>
      </c>
      <c r="AD41" s="16">
        <f>0</f>
        <v>0</v>
      </c>
      <c r="AE41" s="16">
        <f>0</f>
        <v>0</v>
      </c>
      <c r="AF41" s="16">
        <f>0</f>
        <v>0</v>
      </c>
      <c r="AG41" s="16">
        <f>0</f>
        <v>0</v>
      </c>
      <c r="AH41" s="16">
        <f>0</f>
        <v>0</v>
      </c>
      <c r="AI41" s="16">
        <f>0</f>
        <v>0</v>
      </c>
      <c r="AJ41" s="16">
        <f>0</f>
        <v>0</v>
      </c>
      <c r="AK41" s="16">
        <f>0</f>
        <v>0</v>
      </c>
      <c r="AL41" s="16">
        <f t="shared" si="9"/>
        <v>0</v>
      </c>
      <c r="AM41" s="16">
        <f t="shared" si="10"/>
        <v>12000</v>
      </c>
      <c r="AN41" s="16">
        <f t="shared" si="11"/>
        <v>0</v>
      </c>
    </row>
    <row r="42" spans="1:41" ht="15" customHeight="1" x14ac:dyDescent="0.2">
      <c r="A42" s="13" t="s">
        <v>92</v>
      </c>
      <c r="B42" s="18">
        <f t="shared" ref="B42:AK42" si="12">B30+B31+B32+B33+B34+B35+B36+B37+B38+B39+B40+B41</f>
        <v>3820.8681000000001</v>
      </c>
      <c r="C42" s="18">
        <f t="shared" si="12"/>
        <v>3843.9585765000002</v>
      </c>
      <c r="D42" s="18">
        <f t="shared" si="12"/>
        <v>12483.470295645</v>
      </c>
      <c r="E42" s="18">
        <f t="shared" si="12"/>
        <v>29661.632874054918</v>
      </c>
      <c r="F42" s="18">
        <f t="shared" si="12"/>
        <v>31013.928304718935</v>
      </c>
      <c r="G42" s="18">
        <f t="shared" si="12"/>
        <v>33258.825067323487</v>
      </c>
      <c r="H42" s="18">
        <f t="shared" si="12"/>
        <v>38112.187754455663</v>
      </c>
      <c r="I42" s="18">
        <f t="shared" si="12"/>
        <v>39581.334448638445</v>
      </c>
      <c r="J42" s="18">
        <f t="shared" si="12"/>
        <v>41012.273255924651</v>
      </c>
      <c r="K42" s="18">
        <f t="shared" si="12"/>
        <v>42418.265640656129</v>
      </c>
      <c r="L42" s="18">
        <f t="shared" si="12"/>
        <v>43813.460150649997</v>
      </c>
      <c r="M42" s="18">
        <f t="shared" si="12"/>
        <v>45422.812076585979</v>
      </c>
      <c r="N42" s="18">
        <f t="shared" si="12"/>
        <v>101581.21964716885</v>
      </c>
      <c r="O42" s="18">
        <f t="shared" si="12"/>
        <v>104400.59017197893</v>
      </c>
      <c r="P42" s="18">
        <f t="shared" si="12"/>
        <v>112271.06015741211</v>
      </c>
      <c r="Q42" s="18">
        <f t="shared" si="12"/>
        <v>110220.30501950791</v>
      </c>
      <c r="R42" s="18">
        <f t="shared" si="12"/>
        <v>113280.40619449172</v>
      </c>
      <c r="S42" s="18">
        <f t="shared" si="12"/>
        <v>116488.84815253064</v>
      </c>
      <c r="T42" s="18">
        <f t="shared" si="12"/>
        <v>119830.78903201972</v>
      </c>
      <c r="U42" s="18">
        <f t="shared" si="12"/>
        <v>146434.49520272162</v>
      </c>
      <c r="V42" s="18">
        <f t="shared" si="12"/>
        <v>152282.52783085208</v>
      </c>
      <c r="W42" s="18">
        <f t="shared" si="12"/>
        <v>158719.38955810768</v>
      </c>
      <c r="X42" s="18">
        <f t="shared" si="12"/>
        <v>165873.19666049205</v>
      </c>
      <c r="Y42" s="18">
        <f t="shared" si="12"/>
        <v>169182.31284451732</v>
      </c>
      <c r="Z42" s="18">
        <f t="shared" si="12"/>
        <v>253905.58556520595</v>
      </c>
      <c r="AA42" s="18">
        <f t="shared" si="12"/>
        <v>263854.97315609606</v>
      </c>
      <c r="AB42" s="18">
        <f t="shared" si="12"/>
        <v>275049.86560746829</v>
      </c>
      <c r="AC42" s="18">
        <f t="shared" si="12"/>
        <v>287752.61170230253</v>
      </c>
      <c r="AD42" s="18">
        <f t="shared" si="12"/>
        <v>302278.12649790145</v>
      </c>
      <c r="AE42" s="18">
        <f t="shared" si="12"/>
        <v>319004.37459363823</v>
      </c>
      <c r="AF42" s="18">
        <f t="shared" si="12"/>
        <v>338384.95244088542</v>
      </c>
      <c r="AG42" s="18">
        <f t="shared" si="12"/>
        <v>360964.18935001938</v>
      </c>
      <c r="AH42" s="18">
        <f t="shared" si="12"/>
        <v>387395.27078948391</v>
      </c>
      <c r="AI42" s="18">
        <f t="shared" si="12"/>
        <v>418461.98829948285</v>
      </c>
      <c r="AJ42" s="18">
        <f t="shared" si="12"/>
        <v>455104.84121547913</v>
      </c>
      <c r="AK42" s="18">
        <f t="shared" si="12"/>
        <v>498452.36044335179</v>
      </c>
      <c r="AL42" s="18">
        <f t="shared" si="9"/>
        <v>364443.01654515322</v>
      </c>
      <c r="AM42" s="18">
        <f t="shared" si="10"/>
        <v>1570565.1404718005</v>
      </c>
      <c r="AN42" s="18">
        <f t="shared" si="11"/>
        <v>4160609.1396613149</v>
      </c>
    </row>
    <row r="44" spans="1:41" ht="15" customHeight="1" x14ac:dyDescent="0.2">
      <c r="A44" s="30" t="s">
        <v>93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</row>
    <row r="45" spans="1:41" ht="27.75" customHeight="1" x14ac:dyDescent="0.2">
      <c r="A45" s="3" t="s">
        <v>94</v>
      </c>
      <c r="B45" s="12">
        <f t="shared" ref="B45:AK45" si="13">IF(B24=0,0,(B24-(B30+B31+B32))/B24)</f>
        <v>0.85</v>
      </c>
      <c r="C45" s="12">
        <f t="shared" si="13"/>
        <v>0.85</v>
      </c>
      <c r="D45" s="12">
        <f t="shared" si="13"/>
        <v>0.93541253765104315</v>
      </c>
      <c r="E45" s="12">
        <f t="shared" si="13"/>
        <v>0.87972665528868865</v>
      </c>
      <c r="F45" s="12">
        <f t="shared" si="13"/>
        <v>0.86350421458063398</v>
      </c>
      <c r="G45" s="12">
        <f t="shared" si="13"/>
        <v>0.83342572531321368</v>
      </c>
      <c r="H45" s="12">
        <f t="shared" si="13"/>
        <v>0.84542314352957626</v>
      </c>
      <c r="I45" s="12">
        <f t="shared" si="13"/>
        <v>0.85208207070276487</v>
      </c>
      <c r="J45" s="12">
        <f t="shared" si="13"/>
        <v>0.85638003223310288</v>
      </c>
      <c r="K45" s="12">
        <f t="shared" si="13"/>
        <v>0.85939889293463489</v>
      </c>
      <c r="L45" s="12">
        <f t="shared" si="13"/>
        <v>0.86162238947001024</v>
      </c>
      <c r="M45" s="12">
        <f t="shared" si="13"/>
        <v>0.86301268214856908</v>
      </c>
      <c r="N45" s="12">
        <f t="shared" si="13"/>
        <v>0.87901515693812338</v>
      </c>
      <c r="O45" s="12">
        <f t="shared" si="13"/>
        <v>0.88222270819392334</v>
      </c>
      <c r="P45" s="12">
        <f t="shared" si="13"/>
        <v>0.88433583571565377</v>
      </c>
      <c r="Q45" s="12">
        <f t="shared" si="13"/>
        <v>0.88572367514569361</v>
      </c>
      <c r="R45" s="12">
        <f t="shared" si="13"/>
        <v>0.88658340325880336</v>
      </c>
      <c r="S45" s="12">
        <f t="shared" si="13"/>
        <v>0.88702742644098165</v>
      </c>
      <c r="T45" s="12">
        <f t="shared" si="13"/>
        <v>0.88741815264078483</v>
      </c>
      <c r="U45" s="12">
        <f t="shared" si="13"/>
        <v>0.79664570248916755</v>
      </c>
      <c r="V45" s="12">
        <f t="shared" si="13"/>
        <v>0.7966706741590478</v>
      </c>
      <c r="W45" s="12">
        <f t="shared" si="13"/>
        <v>0.79606842757537999</v>
      </c>
      <c r="X45" s="12">
        <f t="shared" si="13"/>
        <v>0.79488753345295571</v>
      </c>
      <c r="Y45" s="12">
        <f t="shared" si="13"/>
        <v>0.79317916086902163</v>
      </c>
      <c r="Z45" s="12">
        <f t="shared" si="13"/>
        <v>0.79138051122705722</v>
      </c>
      <c r="AA45" s="12">
        <f t="shared" si="13"/>
        <v>0.7860256555145716</v>
      </c>
      <c r="AB45" s="12">
        <f t="shared" si="13"/>
        <v>0.78080810581855065</v>
      </c>
      <c r="AC45" s="12">
        <f t="shared" si="13"/>
        <v>0.77568876809814502</v>
      </c>
      <c r="AD45" s="12">
        <f t="shared" si="13"/>
        <v>0.77064676770770946</v>
      </c>
      <c r="AE45" s="12">
        <f t="shared" si="13"/>
        <v>0.76567623871662394</v>
      </c>
      <c r="AF45" s="12">
        <f t="shared" si="13"/>
        <v>0.76078354818689242</v>
      </c>
      <c r="AG45" s="12">
        <f t="shared" si="13"/>
        <v>0.7559846500031544</v>
      </c>
      <c r="AH45" s="12">
        <f t="shared" si="13"/>
        <v>0.75130242815108272</v>
      </c>
      <c r="AI45" s="12">
        <f t="shared" si="13"/>
        <v>0.74676401683341931</v>
      </c>
      <c r="AJ45" s="12">
        <f t="shared" si="13"/>
        <v>0.74239817751186454</v>
      </c>
      <c r="AK45" s="12">
        <f t="shared" si="13"/>
        <v>0.73823286775183727</v>
      </c>
      <c r="AL45" s="12">
        <f>IF(SUM(B24:M24)=0,0,(SUM(B24:M24)-(SUM(B30:M30)+SUM(B31:M31)+SUM(B32:M32)))/SUM(B24:M24))</f>
        <v>0.85741620341551716</v>
      </c>
      <c r="AM45" s="12">
        <f>IF(SUM(N24:Y24)=0,0,(SUM(N24:Y24)-(SUM(N30:Y30)+SUM(N31:Y31)+SUM(N32:Y32)))/SUM(N24:Y24))</f>
        <v>0.83354446537651961</v>
      </c>
      <c r="AN45" s="12">
        <f>IF(SUM(Z24:AK24)=0,0,(SUM(Z24:AK24)-(SUM(Z30:AK30)+SUM(Z31:AK31)+SUM(Z32:AK32)))/SUM(Z24:AK24))</f>
        <v>0.75753178578535241</v>
      </c>
      <c r="AO45" t="s">
        <v>95</v>
      </c>
    </row>
    <row r="46" spans="1:41" ht="15" customHeight="1" x14ac:dyDescent="0.2">
      <c r="A46" s="3" t="s">
        <v>96</v>
      </c>
      <c r="B46" s="2">
        <f t="shared" ref="B46:AK46" si="14">B24-B42</f>
        <v>-3548.4141</v>
      </c>
      <c r="C46" s="2">
        <f t="shared" si="14"/>
        <v>-3417.5680665</v>
      </c>
      <c r="D46" s="2">
        <f t="shared" si="14"/>
        <v>-10727.287841345</v>
      </c>
      <c r="E46" s="2">
        <f t="shared" si="14"/>
        <v>-24615.656508961576</v>
      </c>
      <c r="F46" s="2">
        <f t="shared" si="14"/>
        <v>-19906.284901665334</v>
      </c>
      <c r="G46" s="2">
        <f t="shared" si="14"/>
        <v>-14000.373279025116</v>
      </c>
      <c r="H46" s="2">
        <f t="shared" si="14"/>
        <v>-10979.099472845926</v>
      </c>
      <c r="I46" s="2">
        <f t="shared" si="14"/>
        <v>-4799.3995737863079</v>
      </c>
      <c r="J46" s="2">
        <f t="shared" si="14"/>
        <v>1244.2121018631224</v>
      </c>
      <c r="K46" s="2">
        <f t="shared" si="14"/>
        <v>7192.1416017126685</v>
      </c>
      <c r="L46" s="2">
        <f t="shared" si="14"/>
        <v>13087.277569040256</v>
      </c>
      <c r="M46" s="2">
        <f t="shared" si="14"/>
        <v>20163.609419485176</v>
      </c>
      <c r="N46" s="2">
        <f t="shared" si="14"/>
        <v>-15176.264671876721</v>
      </c>
      <c r="O46" s="2">
        <f t="shared" si="14"/>
        <v>-108.10775151359849</v>
      </c>
      <c r="P46" s="2">
        <f t="shared" si="14"/>
        <v>10112.991012990882</v>
      </c>
      <c r="Q46" s="2">
        <f t="shared" si="14"/>
        <v>30568.556371568993</v>
      </c>
      <c r="R46" s="2">
        <f t="shared" si="14"/>
        <v>46354.114822117554</v>
      </c>
      <c r="S46" s="2">
        <f t="shared" si="14"/>
        <v>62582.23455926613</v>
      </c>
      <c r="T46" s="2">
        <f t="shared" si="14"/>
        <v>79445.079270199538</v>
      </c>
      <c r="U46" s="2">
        <f t="shared" si="14"/>
        <v>74024.748584237444</v>
      </c>
      <c r="V46" s="2">
        <f t="shared" si="14"/>
        <v>90589.012935001025</v>
      </c>
      <c r="W46" s="2">
        <f t="shared" si="14"/>
        <v>108091.96995388289</v>
      </c>
      <c r="X46" s="2">
        <f t="shared" si="14"/>
        <v>126762.33969158633</v>
      </c>
      <c r="Y46" s="2">
        <f t="shared" si="14"/>
        <v>151541.23282541145</v>
      </c>
      <c r="Z46" s="2">
        <f t="shared" si="14"/>
        <v>102511.66961335065</v>
      </c>
      <c r="AA46" s="2">
        <f t="shared" si="14"/>
        <v>130140.73394063581</v>
      </c>
      <c r="AB46" s="2">
        <f t="shared" si="14"/>
        <v>160640.81521858682</v>
      </c>
      <c r="AC46" s="2">
        <f t="shared" si="14"/>
        <v>194624.53359216702</v>
      </c>
      <c r="AD46" s="2">
        <f t="shared" si="14"/>
        <v>232827.15748386184</v>
      </c>
      <c r="AE46" s="2">
        <f t="shared" si="14"/>
        <v>276131.06463734573</v>
      </c>
      <c r="AF46" s="2">
        <f t="shared" si="14"/>
        <v>325595.10092508578</v>
      </c>
      <c r="AG46" s="2">
        <f t="shared" si="14"/>
        <v>382489.81611465517</v>
      </c>
      <c r="AH46" s="2">
        <f t="shared" si="14"/>
        <v>448339.75164872885</v>
      </c>
      <c r="AI46" s="2">
        <f t="shared" si="14"/>
        <v>524974.19052477472</v>
      </c>
      <c r="AJ46" s="2">
        <f t="shared" si="14"/>
        <v>614588.06139653805</v>
      </c>
      <c r="AK46" s="2">
        <f t="shared" si="14"/>
        <v>719815.02746164775</v>
      </c>
      <c r="AL46" s="2">
        <f>SUM(B46:M46)</f>
        <v>-50306.843052028038</v>
      </c>
      <c r="AM46" s="2">
        <f>SUM(N46:Y46)</f>
        <v>764787.90760287188</v>
      </c>
      <c r="AN46" s="2">
        <f>SUM(Z46:AK46)</f>
        <v>4112677.9225573782</v>
      </c>
    </row>
    <row r="47" spans="1:41" ht="15" customHeight="1" x14ac:dyDescent="0.2">
      <c r="A47" s="3" t="s">
        <v>97</v>
      </c>
      <c r="B47" s="19">
        <f>Assumptions!E73</f>
        <v>350000</v>
      </c>
      <c r="C47" s="2">
        <f>IF(2=Assumptions!E74,Assumptions!E75,0)</f>
        <v>0</v>
      </c>
      <c r="D47" s="2">
        <f>IF(3=Assumptions!E74,Assumptions!E75,0)</f>
        <v>0</v>
      </c>
      <c r="E47" s="2">
        <f>IF(4=Assumptions!E74,Assumptions!E75,0)</f>
        <v>0</v>
      </c>
      <c r="F47" s="2">
        <f>IF(5=Assumptions!E74,Assumptions!E75,0)</f>
        <v>0</v>
      </c>
      <c r="G47" s="2">
        <f>IF(6=Assumptions!E74,Assumptions!E75,0)</f>
        <v>0</v>
      </c>
      <c r="H47" s="2">
        <f>IF(7=Assumptions!E74,Assumptions!E75,0)</f>
        <v>0</v>
      </c>
      <c r="I47" s="2">
        <f>IF(8=Assumptions!E74,Assumptions!E75,0)</f>
        <v>0</v>
      </c>
      <c r="J47" s="2">
        <f>IF(9=Assumptions!E74,Assumptions!E75,0)</f>
        <v>0</v>
      </c>
      <c r="K47" s="2">
        <f>IF(10=Assumptions!E74,Assumptions!E75,0)</f>
        <v>0</v>
      </c>
      <c r="L47" s="2">
        <f>IF(11=Assumptions!E74,Assumptions!E75,0)</f>
        <v>0</v>
      </c>
      <c r="M47" s="2">
        <f>IF(12=Assumptions!E74,Assumptions!E75,0)</f>
        <v>0</v>
      </c>
      <c r="N47" s="19">
        <f>IF(13=Assumptions!E74,Assumptions!E75,0)</f>
        <v>5000000</v>
      </c>
      <c r="O47" s="2">
        <f>IF(14=Assumptions!E74,Assumptions!E75,0)</f>
        <v>0</v>
      </c>
      <c r="P47" s="2">
        <f>IF(15=Assumptions!E74,Assumptions!E75,0)</f>
        <v>0</v>
      </c>
      <c r="Q47" s="2">
        <f>IF(16=Assumptions!E74,Assumptions!E75,0)</f>
        <v>0</v>
      </c>
      <c r="R47" s="2">
        <f>IF(17=Assumptions!E74,Assumptions!E75,0)</f>
        <v>0</v>
      </c>
      <c r="S47" s="2">
        <f>IF(18=Assumptions!E74,Assumptions!E75,0)</f>
        <v>0</v>
      </c>
      <c r="T47" s="2">
        <f>IF(19=Assumptions!E74,Assumptions!E75,0)</f>
        <v>0</v>
      </c>
      <c r="U47" s="2">
        <f>IF(20=Assumptions!E74,Assumptions!E75,0)</f>
        <v>0</v>
      </c>
      <c r="V47" s="2">
        <f>IF(21=Assumptions!E74,Assumptions!E75,0)</f>
        <v>0</v>
      </c>
      <c r="W47" s="2">
        <f>IF(22=Assumptions!E74,Assumptions!E75,0)</f>
        <v>0</v>
      </c>
      <c r="X47" s="2">
        <f>IF(23=Assumptions!E74,Assumptions!E75,0)</f>
        <v>0</v>
      </c>
      <c r="Y47" s="2">
        <f>IF(24=Assumptions!E74,Assumptions!E75,0)</f>
        <v>0</v>
      </c>
      <c r="Z47" s="2">
        <f>IF(25=Assumptions!E74,Assumptions!E75,0)</f>
        <v>0</v>
      </c>
      <c r="AA47" s="2">
        <f>IF(26=Assumptions!E74,Assumptions!E75,0)</f>
        <v>0</v>
      </c>
      <c r="AB47" s="2">
        <f>IF(27=Assumptions!E74,Assumptions!E75,0)</f>
        <v>0</v>
      </c>
      <c r="AC47" s="2">
        <f>IF(28=Assumptions!E74,Assumptions!E75,0)</f>
        <v>0</v>
      </c>
      <c r="AD47" s="2">
        <f>IF(29=Assumptions!E74,Assumptions!E75,0)</f>
        <v>0</v>
      </c>
      <c r="AE47" s="2">
        <f>IF(30=Assumptions!E74,Assumptions!E75,0)</f>
        <v>0</v>
      </c>
      <c r="AF47" s="2">
        <f>IF(31=Assumptions!E74,Assumptions!E75,0)</f>
        <v>0</v>
      </c>
      <c r="AG47" s="2">
        <f>IF(32=Assumptions!E74,Assumptions!E75,0)</f>
        <v>0</v>
      </c>
      <c r="AH47" s="2">
        <f>IF(33=Assumptions!E74,Assumptions!E75,0)</f>
        <v>0</v>
      </c>
      <c r="AI47" s="2">
        <f>IF(34=Assumptions!E74,Assumptions!E75,0)</f>
        <v>0</v>
      </c>
      <c r="AJ47" s="2">
        <f>IF(35=Assumptions!E74,Assumptions!E75,0)</f>
        <v>0</v>
      </c>
      <c r="AK47" s="2">
        <f>IF(36=Assumptions!E74,Assumptions!E75,0)</f>
        <v>0</v>
      </c>
      <c r="AL47" s="2">
        <f>SUM(B47:M47)</f>
        <v>350000</v>
      </c>
      <c r="AM47" s="2">
        <f>SUM(N47:Y47)</f>
        <v>5000000</v>
      </c>
      <c r="AN47" s="2">
        <f>SUM(Z47:AK47)</f>
        <v>0</v>
      </c>
      <c r="AO47" t="s">
        <v>98</v>
      </c>
    </row>
    <row r="48" spans="1:41" ht="15" customHeight="1" x14ac:dyDescent="0.2">
      <c r="A48" s="13" t="s">
        <v>99</v>
      </c>
      <c r="B48" s="9">
        <f>B46+B47</f>
        <v>346451.58590000001</v>
      </c>
      <c r="C48" s="9">
        <f t="shared" ref="C48:AK48" si="15">B48+C46+C47</f>
        <v>343034.01783349999</v>
      </c>
      <c r="D48" s="9">
        <f t="shared" si="15"/>
        <v>332306.72999215499</v>
      </c>
      <c r="E48" s="9">
        <f t="shared" si="15"/>
        <v>307691.07348319341</v>
      </c>
      <c r="F48" s="9">
        <f t="shared" si="15"/>
        <v>287784.78858152806</v>
      </c>
      <c r="G48" s="9">
        <f t="shared" si="15"/>
        <v>273784.41530250292</v>
      </c>
      <c r="H48" s="9">
        <f t="shared" si="15"/>
        <v>262805.31582965702</v>
      </c>
      <c r="I48" s="9">
        <f t="shared" si="15"/>
        <v>258005.91625587072</v>
      </c>
      <c r="J48" s="9">
        <f t="shared" si="15"/>
        <v>259250.12835773383</v>
      </c>
      <c r="K48" s="9">
        <f t="shared" si="15"/>
        <v>266442.26995944651</v>
      </c>
      <c r="L48" s="9">
        <f t="shared" si="15"/>
        <v>279529.54752848676</v>
      </c>
      <c r="M48" s="9">
        <f t="shared" si="15"/>
        <v>299693.1569479719</v>
      </c>
      <c r="N48" s="9">
        <f t="shared" si="15"/>
        <v>5284516.8922760952</v>
      </c>
      <c r="O48" s="9">
        <f t="shared" si="15"/>
        <v>5284408.7845245814</v>
      </c>
      <c r="P48" s="9">
        <f t="shared" si="15"/>
        <v>5294521.7755375719</v>
      </c>
      <c r="Q48" s="9">
        <f t="shared" si="15"/>
        <v>5325090.3319091406</v>
      </c>
      <c r="R48" s="9">
        <f t="shared" si="15"/>
        <v>5371444.4467312582</v>
      </c>
      <c r="S48" s="9">
        <f t="shared" si="15"/>
        <v>5434026.6812905241</v>
      </c>
      <c r="T48" s="9">
        <f t="shared" si="15"/>
        <v>5513471.760560724</v>
      </c>
      <c r="U48" s="9">
        <f t="shared" si="15"/>
        <v>5587496.5091449618</v>
      </c>
      <c r="V48" s="9">
        <f t="shared" si="15"/>
        <v>5678085.5220799632</v>
      </c>
      <c r="W48" s="9">
        <f t="shared" si="15"/>
        <v>5786177.4920338457</v>
      </c>
      <c r="X48" s="9">
        <f t="shared" si="15"/>
        <v>5912939.8317254316</v>
      </c>
      <c r="Y48" s="9">
        <f t="shared" si="15"/>
        <v>6064481.0645508431</v>
      </c>
      <c r="Z48" s="9">
        <f t="shared" si="15"/>
        <v>6166992.7341641933</v>
      </c>
      <c r="AA48" s="9">
        <f t="shared" si="15"/>
        <v>6297133.4681048291</v>
      </c>
      <c r="AB48" s="9">
        <f t="shared" si="15"/>
        <v>6457774.2833234156</v>
      </c>
      <c r="AC48" s="9">
        <f t="shared" si="15"/>
        <v>6652398.8169155829</v>
      </c>
      <c r="AD48" s="9">
        <f t="shared" si="15"/>
        <v>6885225.9743994446</v>
      </c>
      <c r="AE48" s="9">
        <f t="shared" si="15"/>
        <v>7161357.0390367899</v>
      </c>
      <c r="AF48" s="9">
        <f t="shared" si="15"/>
        <v>7486952.139961876</v>
      </c>
      <c r="AG48" s="9">
        <f t="shared" si="15"/>
        <v>7869441.9560765307</v>
      </c>
      <c r="AH48" s="9">
        <f t="shared" si="15"/>
        <v>8317781.7077252595</v>
      </c>
      <c r="AI48" s="9">
        <f t="shared" si="15"/>
        <v>8842755.8982500341</v>
      </c>
      <c r="AJ48" s="9">
        <f t="shared" si="15"/>
        <v>9457343.9596465714</v>
      </c>
      <c r="AK48" s="9">
        <f t="shared" si="15"/>
        <v>10177158.987108219</v>
      </c>
      <c r="AL48" s="9">
        <f>M48</f>
        <v>299693.1569479719</v>
      </c>
      <c r="AM48" s="9">
        <f>Y48</f>
        <v>6064481.0645508431</v>
      </c>
      <c r="AN48" s="9">
        <f>AK48</f>
        <v>10177158.987108219</v>
      </c>
    </row>
    <row r="50" spans="1:41" ht="15" customHeight="1" x14ac:dyDescent="0.2">
      <c r="A50" s="30" t="s">
        <v>100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</row>
    <row r="51" spans="1:41" ht="15" customHeight="1" x14ac:dyDescent="0.2">
      <c r="A51" s="13" t="s">
        <v>101</v>
      </c>
      <c r="B51" s="20">
        <f>Assumptions!E4*(1-Assumptions!E41)/AVERAGE(N9:Y9)</f>
        <v>83.576354679802947</v>
      </c>
      <c r="AO51" t="s">
        <v>102</v>
      </c>
    </row>
    <row r="52" spans="1:41" ht="15" customHeight="1" x14ac:dyDescent="0.2">
      <c r="A52" s="13" t="s">
        <v>103</v>
      </c>
      <c r="B52" s="20">
        <f>Assumptions!E5*(1-Assumptions!E41)/Assumptions!E27</f>
        <v>368.05</v>
      </c>
    </row>
    <row r="53" spans="1:41" ht="15" customHeight="1" x14ac:dyDescent="0.2">
      <c r="A53" s="13" t="s">
        <v>104</v>
      </c>
      <c r="B53" s="20">
        <f>Assumptions!E15</f>
        <v>12</v>
      </c>
    </row>
    <row r="54" spans="1:41" ht="15" customHeight="1" x14ac:dyDescent="0.2">
      <c r="A54" s="13" t="s">
        <v>105</v>
      </c>
      <c r="B54" s="21">
        <f>IF(B53=0,0,B51/B53)</f>
        <v>6.9646962233169125</v>
      </c>
      <c r="AO54" t="s">
        <v>106</v>
      </c>
    </row>
    <row r="55" spans="1:41" ht="15" customHeight="1" x14ac:dyDescent="0.2">
      <c r="A55" s="3" t="s">
        <v>107</v>
      </c>
      <c r="B55" s="2">
        <f>IF(B53=0,0,B53/(Assumptions!E4*(1-Assumptions!E41)))</f>
        <v>2.8291877873393845</v>
      </c>
    </row>
    <row r="56" spans="1:41" ht="27.75" customHeight="1" x14ac:dyDescent="0.2">
      <c r="A56" s="3" t="s">
        <v>108</v>
      </c>
      <c r="B56" s="4">
        <v>4.2</v>
      </c>
    </row>
    <row r="57" spans="1:41" ht="15" customHeight="1" x14ac:dyDescent="0.2">
      <c r="A57" s="3" t="s">
        <v>109</v>
      </c>
      <c r="B57" s="23">
        <f>IF(B56=0,0,B51/B56)</f>
        <v>19.89913206661975</v>
      </c>
    </row>
  </sheetData>
  <mergeCells count="6">
    <mergeCell ref="A1:AM1"/>
    <mergeCell ref="A28:AO28"/>
    <mergeCell ref="A44:AO44"/>
    <mergeCell ref="A17:AO17"/>
    <mergeCell ref="A50:AO50"/>
    <mergeCell ref="A4:AO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4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55" customWidth="1"/>
    <col min="2" max="4" width="80" customWidth="1"/>
    <col min="5" max="5" width="50" customWidth="1"/>
  </cols>
  <sheetData>
    <row r="1" spans="1:5" ht="15" customHeight="1" x14ac:dyDescent="0.2">
      <c r="A1" s="30" t="s">
        <v>192</v>
      </c>
      <c r="B1" s="31"/>
      <c r="C1" s="31"/>
      <c r="D1" s="31"/>
      <c r="E1" s="31"/>
    </row>
    <row r="2" spans="1:5" ht="15" customHeight="1" x14ac:dyDescent="0.2">
      <c r="A2" s="1" t="s">
        <v>193</v>
      </c>
      <c r="B2" s="1" t="s">
        <v>113</v>
      </c>
      <c r="C2" s="1" t="s">
        <v>114</v>
      </c>
      <c r="D2" s="1" t="s">
        <v>115</v>
      </c>
      <c r="E2" s="1" t="s">
        <v>194</v>
      </c>
    </row>
    <row r="3" spans="1:5" ht="15" customHeight="1" x14ac:dyDescent="0.2">
      <c r="A3" s="32" t="s">
        <v>195</v>
      </c>
      <c r="B3" s="31"/>
      <c r="C3" s="31"/>
      <c r="D3" s="31"/>
      <c r="E3" s="31"/>
    </row>
    <row r="4" spans="1:5" ht="15" customHeight="1" x14ac:dyDescent="0.2">
      <c r="A4" s="2" t="s">
        <v>196</v>
      </c>
      <c r="B4" s="11">
        <f>Conservative!AL15</f>
        <v>5081.4563922147991</v>
      </c>
      <c r="C4" s="11">
        <f>Realistic!AL15</f>
        <v>8021.1120444923681</v>
      </c>
      <c r="D4" s="11">
        <f>Ambitious!AL15</f>
        <v>12235.477622308688</v>
      </c>
      <c r="E4" t="s">
        <v>197</v>
      </c>
    </row>
    <row r="5" spans="1:5" ht="15" customHeight="1" x14ac:dyDescent="0.2">
      <c r="A5" s="2" t="s">
        <v>198</v>
      </c>
      <c r="B5" s="11">
        <f>Conservative!AM15</f>
        <v>20199.212824941216</v>
      </c>
      <c r="C5" s="11">
        <f>Realistic!AM15</f>
        <v>32708.410383816277</v>
      </c>
      <c r="D5" s="11">
        <f>Ambitious!AM15</f>
        <v>50714.154482054233</v>
      </c>
      <c r="E5" t="s">
        <v>197</v>
      </c>
    </row>
    <row r="6" spans="1:5" ht="15" customHeight="1" x14ac:dyDescent="0.2">
      <c r="A6" s="2" t="s">
        <v>199</v>
      </c>
      <c r="B6" s="11">
        <f>Conservative!AN15</f>
        <v>80699.471012345763</v>
      </c>
      <c r="C6" s="11">
        <f>Realistic!AN15</f>
        <v>137370.8418912121</v>
      </c>
      <c r="D6" s="11">
        <f>Ambitious!AN15</f>
        <v>218216.77229641317</v>
      </c>
      <c r="E6" t="s">
        <v>197</v>
      </c>
    </row>
    <row r="8" spans="1:5" ht="15" customHeight="1" x14ac:dyDescent="0.2">
      <c r="A8" s="32" t="s">
        <v>200</v>
      </c>
      <c r="B8" s="31"/>
      <c r="C8" s="31"/>
      <c r="D8" s="31"/>
      <c r="E8" s="31"/>
    </row>
    <row r="9" spans="1:5" ht="15" customHeight="1" x14ac:dyDescent="0.2">
      <c r="A9" s="2" t="s">
        <v>201</v>
      </c>
      <c r="B9" s="16">
        <f>SUM(Conservative!B24:M24)</f>
        <v>132562.13352072734</v>
      </c>
      <c r="C9" s="16">
        <f>SUM(Realistic!B24:M24)</f>
        <v>207220.65965137494</v>
      </c>
      <c r="D9" s="16">
        <f>SUM(Ambitious!B24:M24)</f>
        <v>314136.17349312513</v>
      </c>
    </row>
    <row r="10" spans="1:5" ht="15" customHeight="1" x14ac:dyDescent="0.2">
      <c r="A10" s="2" t="s">
        <v>202</v>
      </c>
      <c r="B10" s="16">
        <f>SUM(Conservative!N24:Y24)</f>
        <v>907318.98389924411</v>
      </c>
      <c r="C10" s="16">
        <f>SUM(Realistic!N24:Y24)</f>
        <v>1381532.1638760546</v>
      </c>
      <c r="D10" s="16">
        <f>SUM(Ambitious!N24:Y24)</f>
        <v>2335353.0480746725</v>
      </c>
    </row>
    <row r="11" spans="1:5" ht="15" customHeight="1" x14ac:dyDescent="0.2">
      <c r="A11" s="2" t="s">
        <v>203</v>
      </c>
      <c r="B11" s="16">
        <f>SUM(Conservative!Z24:AK24)</f>
        <v>3036840.367119323</v>
      </c>
      <c r="C11" s="16">
        <f>SUM(Realistic!Z24:AK24)</f>
        <v>4943253.1506659584</v>
      </c>
      <c r="D11" s="16">
        <f>SUM(Ambitious!Z24:AK24)</f>
        <v>8273287.062218694</v>
      </c>
    </row>
    <row r="12" spans="1:5" ht="15" customHeight="1" x14ac:dyDescent="0.2">
      <c r="A12" s="2" t="s">
        <v>204</v>
      </c>
      <c r="B12" s="16">
        <f>Conservative!AL26</f>
        <v>278455.36642838572</v>
      </c>
      <c r="C12" s="16">
        <f>Realistic!AL26</f>
        <v>440764.42506823037</v>
      </c>
      <c r="D12" s="16">
        <f>Ambitious!AL26</f>
        <v>691037.05795285373</v>
      </c>
      <c r="E12" t="s">
        <v>205</v>
      </c>
    </row>
    <row r="13" spans="1:5" ht="15" customHeight="1" x14ac:dyDescent="0.2">
      <c r="A13" s="2" t="s">
        <v>206</v>
      </c>
      <c r="B13" s="16">
        <f>Conservative!AM26</f>
        <v>1279027.178167325</v>
      </c>
      <c r="C13" s="16">
        <f>Realistic!AM26</f>
        <v>2065179.2400555701</v>
      </c>
      <c r="D13" s="16">
        <f>Ambitious!AM26</f>
        <v>3359082.5480391453</v>
      </c>
      <c r="E13" t="s">
        <v>205</v>
      </c>
    </row>
    <row r="14" spans="1:5" ht="15" customHeight="1" x14ac:dyDescent="0.2">
      <c r="A14" s="2" t="s">
        <v>207</v>
      </c>
      <c r="B14" s="16">
        <f>Conservative!AN26</f>
        <v>4899335.5181572288</v>
      </c>
      <c r="C14" s="16">
        <f>Realistic!AN26</f>
        <v>8425405.8033626229</v>
      </c>
      <c r="D14" s="16">
        <f>Ambitious!AN26</f>
        <v>13816408.654859994</v>
      </c>
      <c r="E14" t="s">
        <v>205</v>
      </c>
    </row>
    <row r="16" spans="1:5" ht="15" customHeight="1" x14ac:dyDescent="0.2">
      <c r="A16" s="32" t="s">
        <v>208</v>
      </c>
      <c r="B16" s="31"/>
      <c r="C16" s="31"/>
      <c r="D16" s="31"/>
      <c r="E16" s="31"/>
    </row>
    <row r="17" spans="1:5" ht="15" customHeight="1" x14ac:dyDescent="0.2">
      <c r="A17" s="2" t="s">
        <v>209</v>
      </c>
      <c r="B17" s="24">
        <f>Conservative!AL45</f>
        <v>0.85060110337070105</v>
      </c>
      <c r="C17" s="24">
        <f>Realistic!AL45</f>
        <v>0.85559135208324399</v>
      </c>
      <c r="D17" s="24">
        <f>Ambitious!AL45</f>
        <v>0.85741620341551716</v>
      </c>
      <c r="E17" t="s">
        <v>210</v>
      </c>
    </row>
    <row r="18" spans="1:5" ht="15" customHeight="1" x14ac:dyDescent="0.2">
      <c r="A18" s="2" t="s">
        <v>211</v>
      </c>
      <c r="B18" s="24">
        <f>Conservative!AM45</f>
        <v>0.8829341732098015</v>
      </c>
      <c r="C18" s="24">
        <f>Realistic!AM45</f>
        <v>0.83450216498802232</v>
      </c>
      <c r="D18" s="24">
        <f>Ambitious!AM45</f>
        <v>0.83354446537651961</v>
      </c>
      <c r="E18" t="s">
        <v>210</v>
      </c>
    </row>
    <row r="19" spans="1:5" ht="15" customHeight="1" x14ac:dyDescent="0.2">
      <c r="A19" s="2" t="s">
        <v>212</v>
      </c>
      <c r="B19" s="24">
        <f>Conservative!AN45</f>
        <v>0.78030486333076077</v>
      </c>
      <c r="C19" s="24">
        <f>Realistic!AN45</f>
        <v>0.74007926970724758</v>
      </c>
      <c r="D19" s="24">
        <f>Ambitious!AN45</f>
        <v>0.75753178578535241</v>
      </c>
      <c r="E19" t="s">
        <v>210</v>
      </c>
    </row>
    <row r="20" spans="1:5" ht="15" customHeight="1" x14ac:dyDescent="0.2">
      <c r="A20" s="2" t="s">
        <v>213</v>
      </c>
      <c r="B20" s="16">
        <f>SUM(Conservative!B46:M46)</f>
        <v>-105834.55108727275</v>
      </c>
      <c r="C20" s="16">
        <f>SUM(Realistic!B46:M46)</f>
        <v>-84430.292137780358</v>
      </c>
      <c r="D20" s="16">
        <f>SUM(Ambitious!B46:M46)</f>
        <v>-50306.843052028038</v>
      </c>
    </row>
    <row r="21" spans="1:5" ht="15" customHeight="1" x14ac:dyDescent="0.2">
      <c r="A21" s="2" t="s">
        <v>214</v>
      </c>
      <c r="B21" s="16">
        <f>SUM(Conservative!N46:Y46)</f>
        <v>-9802.4835828929499</v>
      </c>
      <c r="C21" s="16">
        <f>SUM(Realistic!N46:Y46)</f>
        <v>85463.63620900386</v>
      </c>
      <c r="D21" s="16">
        <f>SUM(Ambitious!N46:Y46)</f>
        <v>764787.90760287188</v>
      </c>
    </row>
    <row r="22" spans="1:5" ht="15" customHeight="1" x14ac:dyDescent="0.2">
      <c r="A22" s="2" t="s">
        <v>215</v>
      </c>
      <c r="B22" s="16">
        <f>SUM(Conservative!Z46:AK46)</f>
        <v>1189669.8878011031</v>
      </c>
      <c r="C22" s="16">
        <f>SUM(Realistic!Z46:AK46)</f>
        <v>1960618.5041522065</v>
      </c>
      <c r="D22" s="16">
        <f>SUM(Ambitious!Z46:AK46)</f>
        <v>4112677.9225573782</v>
      </c>
    </row>
    <row r="24" spans="1:5" ht="15" customHeight="1" x14ac:dyDescent="0.2">
      <c r="A24" s="32" t="s">
        <v>216</v>
      </c>
      <c r="B24" s="31"/>
      <c r="C24" s="31"/>
      <c r="D24" s="31"/>
      <c r="E24" s="31"/>
    </row>
    <row r="25" spans="1:5" ht="15" customHeight="1" x14ac:dyDescent="0.2">
      <c r="A25" s="2" t="s">
        <v>217</v>
      </c>
      <c r="B25" s="16">
        <f>Conservative!AL48</f>
        <v>244165.44891272718</v>
      </c>
      <c r="C25" s="16">
        <f>Realistic!AL48</f>
        <v>265569.7078622196</v>
      </c>
      <c r="D25" s="16">
        <f>Ambitious!AL48</f>
        <v>299693.1569479719</v>
      </c>
      <c r="E25" t="s">
        <v>218</v>
      </c>
    </row>
    <row r="26" spans="1:5" ht="15" customHeight="1" x14ac:dyDescent="0.2">
      <c r="A26" s="2" t="s">
        <v>219</v>
      </c>
      <c r="B26" s="16">
        <f>Conservative!AM48</f>
        <v>1734362.9653298343</v>
      </c>
      <c r="C26" s="16">
        <f>Realistic!AM48</f>
        <v>3351033.3440712229</v>
      </c>
      <c r="D26" s="16">
        <f>Ambitious!AM48</f>
        <v>6064481.0645508431</v>
      </c>
      <c r="E26" t="s">
        <v>218</v>
      </c>
    </row>
    <row r="27" spans="1:5" ht="15" customHeight="1" x14ac:dyDescent="0.2">
      <c r="A27" s="2" t="s">
        <v>220</v>
      </c>
      <c r="B27" s="16">
        <f>Conservative!AN48</f>
        <v>2924032.8531309376</v>
      </c>
      <c r="C27" s="16">
        <f>Realistic!AN48</f>
        <v>5311651.8482234292</v>
      </c>
      <c r="D27" s="16">
        <f>Ambitious!AN48</f>
        <v>10177158.987108219</v>
      </c>
      <c r="E27" t="s">
        <v>218</v>
      </c>
    </row>
    <row r="29" spans="1:5" ht="15" customHeight="1" x14ac:dyDescent="0.2">
      <c r="A29" s="32" t="s">
        <v>221</v>
      </c>
      <c r="B29" s="31"/>
      <c r="C29" s="31"/>
      <c r="D29" s="31"/>
      <c r="E29" s="31"/>
    </row>
    <row r="30" spans="1:5" ht="15" customHeight="1" x14ac:dyDescent="0.2">
      <c r="A30" s="9" t="s">
        <v>222</v>
      </c>
      <c r="B30" s="31" t="s">
        <v>223</v>
      </c>
      <c r="C30" s="31"/>
      <c r="D30" s="31"/>
      <c r="E30" s="31"/>
    </row>
    <row r="31" spans="1:5" ht="15" customHeight="1" x14ac:dyDescent="0.2">
      <c r="A31" s="9" t="s">
        <v>224</v>
      </c>
      <c r="B31" s="31" t="s">
        <v>225</v>
      </c>
      <c r="C31" s="31"/>
      <c r="D31" s="31"/>
      <c r="E31" s="31"/>
    </row>
    <row r="32" spans="1:5" ht="15" customHeight="1" x14ac:dyDescent="0.2">
      <c r="A32" s="9" t="s">
        <v>226</v>
      </c>
      <c r="B32" s="31" t="s">
        <v>227</v>
      </c>
      <c r="C32" s="31"/>
      <c r="D32" s="31"/>
      <c r="E32" s="31"/>
    </row>
    <row r="33" spans="1:5" ht="15" customHeight="1" x14ac:dyDescent="0.2">
      <c r="A33" s="9" t="s">
        <v>228</v>
      </c>
      <c r="B33" s="31" t="s">
        <v>229</v>
      </c>
      <c r="C33" s="31"/>
      <c r="D33" s="31"/>
      <c r="E33" s="31"/>
    </row>
    <row r="34" spans="1:5" ht="15" customHeight="1" x14ac:dyDescent="0.2">
      <c r="A34" s="9" t="s">
        <v>230</v>
      </c>
      <c r="B34" s="31" t="s">
        <v>231</v>
      </c>
      <c r="C34" s="31"/>
      <c r="D34" s="31"/>
      <c r="E34" s="31"/>
    </row>
    <row r="35" spans="1:5" ht="15" customHeight="1" x14ac:dyDescent="0.2">
      <c r="A35" s="9" t="s">
        <v>232</v>
      </c>
      <c r="B35" s="31" t="s">
        <v>233</v>
      </c>
      <c r="C35" s="31"/>
      <c r="D35" s="31"/>
      <c r="E35" s="31"/>
    </row>
    <row r="36" spans="1:5" ht="15" customHeight="1" x14ac:dyDescent="0.2">
      <c r="A36" s="9" t="s">
        <v>234</v>
      </c>
      <c r="B36" s="31" t="s">
        <v>235</v>
      </c>
      <c r="C36" s="31"/>
      <c r="D36" s="31"/>
      <c r="E36" s="31"/>
    </row>
    <row r="37" spans="1:5" ht="15" customHeight="1" x14ac:dyDescent="0.2">
      <c r="A37" s="9" t="s">
        <v>236</v>
      </c>
      <c r="B37" s="31" t="s">
        <v>237</v>
      </c>
      <c r="C37" s="31"/>
      <c r="D37" s="31"/>
      <c r="E37" s="31"/>
    </row>
    <row r="38" spans="1:5" ht="15" customHeight="1" x14ac:dyDescent="0.2">
      <c r="A38" s="9" t="s">
        <v>238</v>
      </c>
      <c r="B38" s="31" t="s">
        <v>239</v>
      </c>
      <c r="C38" s="31"/>
      <c r="D38" s="31"/>
      <c r="E38" s="31"/>
    </row>
    <row r="39" spans="1:5" ht="15" customHeight="1" x14ac:dyDescent="0.2">
      <c r="A39" s="9" t="s">
        <v>240</v>
      </c>
      <c r="B39" s="31" t="s">
        <v>241</v>
      </c>
      <c r="C39" s="31"/>
      <c r="D39" s="31"/>
      <c r="E39" s="31"/>
    </row>
    <row r="40" spans="1:5" ht="15" customHeight="1" x14ac:dyDescent="0.2">
      <c r="A40" s="9" t="s">
        <v>242</v>
      </c>
      <c r="B40" s="31" t="s">
        <v>243</v>
      </c>
      <c r="C40" s="31"/>
      <c r="D40" s="31"/>
      <c r="E40" s="31"/>
    </row>
    <row r="42" spans="1:5" ht="15" customHeight="1" x14ac:dyDescent="0.2">
      <c r="A42" s="35" t="s">
        <v>244</v>
      </c>
      <c r="B42" s="31"/>
      <c r="C42" s="31"/>
      <c r="D42" s="31"/>
      <c r="E42" s="31"/>
    </row>
    <row r="43" spans="1:5" ht="15" customHeight="1" x14ac:dyDescent="0.2">
      <c r="A43" s="25" t="s">
        <v>245</v>
      </c>
      <c r="B43" s="33" t="s">
        <v>246</v>
      </c>
      <c r="C43" s="31"/>
      <c r="D43" s="31"/>
      <c r="E43" s="31"/>
    </row>
    <row r="44" spans="1:5" ht="15" customHeight="1" x14ac:dyDescent="0.2">
      <c r="A44" s="2" t="s">
        <v>247</v>
      </c>
      <c r="B44" s="34" t="s">
        <v>248</v>
      </c>
      <c r="C44" s="31"/>
      <c r="D44" s="31"/>
      <c r="E44" s="31"/>
    </row>
    <row r="45" spans="1:5" ht="15" customHeight="1" x14ac:dyDescent="0.2">
      <c r="A45" s="2" t="s">
        <v>249</v>
      </c>
      <c r="B45" s="34" t="s">
        <v>250</v>
      </c>
      <c r="C45" s="31"/>
      <c r="D45" s="31"/>
      <c r="E45" s="31"/>
    </row>
    <row r="46" spans="1:5" ht="15" customHeight="1" x14ac:dyDescent="0.2">
      <c r="A46" s="2" t="s">
        <v>251</v>
      </c>
      <c r="B46" s="34" t="s">
        <v>252</v>
      </c>
      <c r="C46" s="31"/>
      <c r="D46" s="31"/>
      <c r="E46" s="31"/>
    </row>
    <row r="47" spans="1:5" ht="15" customHeight="1" x14ac:dyDescent="0.2">
      <c r="A47" s="2" t="s">
        <v>253</v>
      </c>
      <c r="B47" s="34" t="s">
        <v>254</v>
      </c>
      <c r="C47" s="31"/>
      <c r="D47" s="31"/>
      <c r="E47" s="31"/>
    </row>
    <row r="48" spans="1:5" ht="15" customHeight="1" x14ac:dyDescent="0.2">
      <c r="A48" s="2" t="s">
        <v>255</v>
      </c>
      <c r="B48" s="34" t="s">
        <v>256</v>
      </c>
      <c r="C48" s="31"/>
      <c r="D48" s="31"/>
      <c r="E48" s="31"/>
    </row>
    <row r="49" spans="1:5" ht="15" customHeight="1" x14ac:dyDescent="0.2">
      <c r="A49" s="25" t="s">
        <v>257</v>
      </c>
      <c r="B49" s="33" t="s">
        <v>258</v>
      </c>
      <c r="C49" s="31"/>
      <c r="D49" s="31"/>
      <c r="E49" s="31"/>
    </row>
    <row r="50" spans="1:5" ht="15" customHeight="1" x14ac:dyDescent="0.2">
      <c r="A50" s="2" t="s">
        <v>259</v>
      </c>
      <c r="B50" s="34" t="s">
        <v>260</v>
      </c>
      <c r="C50" s="31"/>
      <c r="D50" s="31"/>
      <c r="E50" s="31"/>
    </row>
    <row r="51" spans="1:5" ht="15" customHeight="1" x14ac:dyDescent="0.2">
      <c r="A51" s="2" t="s">
        <v>261</v>
      </c>
      <c r="B51" s="34" t="s">
        <v>262</v>
      </c>
      <c r="C51" s="31"/>
      <c r="D51" s="31"/>
      <c r="E51" s="31"/>
    </row>
    <row r="52" spans="1:5" ht="15" customHeight="1" x14ac:dyDescent="0.2">
      <c r="A52" s="2" t="s">
        <v>263</v>
      </c>
      <c r="B52" s="34" t="s">
        <v>264</v>
      </c>
      <c r="C52" s="31"/>
      <c r="D52" s="31"/>
      <c r="E52" s="31"/>
    </row>
    <row r="53" spans="1:5" ht="15" customHeight="1" x14ac:dyDescent="0.2">
      <c r="A53" s="25" t="s">
        <v>265</v>
      </c>
      <c r="B53" s="33"/>
      <c r="C53" s="31"/>
      <c r="D53" s="31"/>
      <c r="E53" s="31"/>
    </row>
    <row r="54" spans="1:5" ht="15" customHeight="1" x14ac:dyDescent="0.2">
      <c r="A54" s="2" t="s">
        <v>266</v>
      </c>
      <c r="B54" s="34" t="s">
        <v>267</v>
      </c>
      <c r="C54" s="31"/>
      <c r="D54" s="31"/>
      <c r="E54" s="31"/>
    </row>
    <row r="55" spans="1:5" ht="15" customHeight="1" x14ac:dyDescent="0.2">
      <c r="A55" s="2" t="s">
        <v>268</v>
      </c>
      <c r="B55" s="34" t="s">
        <v>269</v>
      </c>
      <c r="C55" s="31"/>
      <c r="D55" s="31"/>
      <c r="E55" s="31"/>
    </row>
    <row r="56" spans="1:5" ht="15" customHeight="1" x14ac:dyDescent="0.2">
      <c r="A56" s="2" t="s">
        <v>270</v>
      </c>
      <c r="B56" s="34" t="s">
        <v>271</v>
      </c>
      <c r="C56" s="31"/>
      <c r="D56" s="31"/>
      <c r="E56" s="31"/>
    </row>
    <row r="57" spans="1:5" ht="15" customHeight="1" x14ac:dyDescent="0.2">
      <c r="A57" s="2" t="s">
        <v>272</v>
      </c>
      <c r="B57" s="34" t="s">
        <v>273</v>
      </c>
      <c r="C57" s="31"/>
      <c r="D57" s="31"/>
      <c r="E57" s="31"/>
    </row>
    <row r="59" spans="1:5" ht="15" customHeight="1" x14ac:dyDescent="0.2">
      <c r="A59" t="s">
        <v>274</v>
      </c>
    </row>
    <row r="60" spans="1:5" ht="15" customHeight="1" x14ac:dyDescent="0.2">
      <c r="A60" t="s">
        <v>275</v>
      </c>
      <c r="B60" t="s">
        <v>276</v>
      </c>
    </row>
    <row r="61" spans="1:5" ht="15" customHeight="1" x14ac:dyDescent="0.2">
      <c r="A61" t="s">
        <v>277</v>
      </c>
      <c r="B61" t="s">
        <v>278</v>
      </c>
    </row>
    <row r="62" spans="1:5" ht="15" customHeight="1" x14ac:dyDescent="0.2">
      <c r="A62" t="s">
        <v>279</v>
      </c>
      <c r="B62" t="s">
        <v>280</v>
      </c>
    </row>
    <row r="63" spans="1:5" ht="15" customHeight="1" x14ac:dyDescent="0.2">
      <c r="A63" t="s">
        <v>281</v>
      </c>
      <c r="B63" t="s">
        <v>282</v>
      </c>
    </row>
    <row r="64" spans="1:5" ht="15" customHeight="1" x14ac:dyDescent="0.2">
      <c r="A64" t="s">
        <v>283</v>
      </c>
      <c r="B64" t="s">
        <v>284</v>
      </c>
    </row>
  </sheetData>
  <mergeCells count="33">
    <mergeCell ref="B57:E57"/>
    <mergeCell ref="B53:E53"/>
    <mergeCell ref="B38:E38"/>
    <mergeCell ref="B44:E44"/>
    <mergeCell ref="B37:E37"/>
    <mergeCell ref="B56:E56"/>
    <mergeCell ref="B43:E43"/>
    <mergeCell ref="A42:E42"/>
    <mergeCell ref="B52:E52"/>
    <mergeCell ref="B48:E48"/>
    <mergeCell ref="A1:E1"/>
    <mergeCell ref="B55:E55"/>
    <mergeCell ref="B51:E51"/>
    <mergeCell ref="B36:E36"/>
    <mergeCell ref="B32:E32"/>
    <mergeCell ref="B45:E45"/>
    <mergeCell ref="B35:E35"/>
    <mergeCell ref="B50:E50"/>
    <mergeCell ref="A16:E16"/>
    <mergeCell ref="B54:E54"/>
    <mergeCell ref="B47:E47"/>
    <mergeCell ref="B46:E46"/>
    <mergeCell ref="A3:E3"/>
    <mergeCell ref="B31:E31"/>
    <mergeCell ref="B39:E39"/>
    <mergeCell ref="A8:E8"/>
    <mergeCell ref="B40:E40"/>
    <mergeCell ref="B49:E49"/>
    <mergeCell ref="A24:E24"/>
    <mergeCell ref="B30:E30"/>
    <mergeCell ref="B33:E33"/>
    <mergeCell ref="A29:E29"/>
    <mergeCell ref="B34:E3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zoomScaleNormal="100" workbookViewId="0"/>
  </sheetViews>
  <sheetFormatPr baseColWidth="10" defaultColWidth="8.6640625" defaultRowHeight="15" x14ac:dyDescent="0.2"/>
  <cols>
    <col min="1" max="1" width="20" customWidth="1"/>
    <col min="2" max="7" width="14" customWidth="1"/>
  </cols>
  <sheetData>
    <row r="1" spans="1:10" ht="15" customHeight="1" x14ac:dyDescent="0.2">
      <c r="A1" s="30" t="s">
        <v>285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5" customHeight="1" x14ac:dyDescent="0.2">
      <c r="A2" s="9" t="s">
        <v>286</v>
      </c>
    </row>
    <row r="3" spans="1:10" ht="15" customHeight="1" x14ac:dyDescent="0.2">
      <c r="A3" s="9" t="s">
        <v>287</v>
      </c>
      <c r="B3" s="9" t="s">
        <v>288</v>
      </c>
      <c r="C3" s="9" t="s">
        <v>289</v>
      </c>
      <c r="D3" s="9" t="s">
        <v>290</v>
      </c>
      <c r="E3" s="9" t="s">
        <v>291</v>
      </c>
      <c r="F3" s="9" t="s">
        <v>292</v>
      </c>
      <c r="G3" s="9" t="s">
        <v>293</v>
      </c>
    </row>
    <row r="4" spans="1:10" ht="15" customHeight="1" x14ac:dyDescent="0.2">
      <c r="A4" s="9" t="s">
        <v>294</v>
      </c>
      <c r="B4" s="26">
        <v>26</v>
      </c>
      <c r="C4" s="26">
        <v>29</v>
      </c>
      <c r="D4" s="26">
        <v>31</v>
      </c>
      <c r="E4" s="26">
        <v>33</v>
      </c>
      <c r="F4" s="26">
        <v>34</v>
      </c>
      <c r="G4" s="26">
        <v>35</v>
      </c>
    </row>
    <row r="5" spans="1:10" ht="15" customHeight="1" x14ac:dyDescent="0.2">
      <c r="A5" s="9" t="s">
        <v>295</v>
      </c>
      <c r="B5" s="26">
        <v>27</v>
      </c>
      <c r="C5" s="26">
        <v>30</v>
      </c>
      <c r="D5" s="26">
        <v>31</v>
      </c>
      <c r="E5" s="26">
        <v>33</v>
      </c>
      <c r="F5" s="26">
        <v>34</v>
      </c>
      <c r="G5" s="26">
        <v>35</v>
      </c>
    </row>
    <row r="6" spans="1:10" ht="15" customHeight="1" x14ac:dyDescent="0.2">
      <c r="A6" s="9" t="s">
        <v>296</v>
      </c>
      <c r="B6" s="26">
        <v>27</v>
      </c>
      <c r="C6" s="26">
        <v>30</v>
      </c>
      <c r="D6" s="27">
        <v>32</v>
      </c>
      <c r="E6" s="26">
        <v>33</v>
      </c>
      <c r="F6" s="26">
        <v>35</v>
      </c>
      <c r="G6" s="26">
        <v>36</v>
      </c>
    </row>
    <row r="7" spans="1:10" ht="15" customHeight="1" x14ac:dyDescent="0.2">
      <c r="A7" s="9" t="s">
        <v>297</v>
      </c>
      <c r="B7" s="26">
        <v>28</v>
      </c>
      <c r="C7" s="26">
        <v>30</v>
      </c>
      <c r="D7" s="26">
        <v>32</v>
      </c>
      <c r="E7" s="26">
        <v>34</v>
      </c>
      <c r="F7" s="26">
        <v>35</v>
      </c>
      <c r="G7" s="26">
        <v>36</v>
      </c>
    </row>
    <row r="8" spans="1:10" ht="15" customHeight="1" x14ac:dyDescent="0.2">
      <c r="A8" s="9" t="s">
        <v>298</v>
      </c>
      <c r="B8" s="26">
        <v>28</v>
      </c>
      <c r="C8" s="26">
        <v>31</v>
      </c>
      <c r="D8" s="26">
        <v>32</v>
      </c>
      <c r="E8" s="26">
        <v>34</v>
      </c>
      <c r="F8" s="26">
        <v>36</v>
      </c>
      <c r="G8" s="26" t="s">
        <v>299</v>
      </c>
    </row>
    <row r="9" spans="1:10" ht="15" customHeight="1" x14ac:dyDescent="0.2">
      <c r="A9" s="9" t="s">
        <v>300</v>
      </c>
      <c r="B9" s="26">
        <v>28</v>
      </c>
      <c r="C9" s="26">
        <v>31</v>
      </c>
      <c r="D9" s="26">
        <v>33</v>
      </c>
      <c r="E9" s="26">
        <v>35</v>
      </c>
      <c r="F9" s="26">
        <v>36</v>
      </c>
      <c r="G9" s="26" t="s">
        <v>299</v>
      </c>
    </row>
    <row r="11" spans="1:10" ht="15" customHeight="1" x14ac:dyDescent="0.2">
      <c r="A11" s="9" t="s">
        <v>301</v>
      </c>
    </row>
    <row r="12" spans="1:10" ht="15" customHeight="1" x14ac:dyDescent="0.2">
      <c r="A12" s="9" t="s">
        <v>287</v>
      </c>
      <c r="B12" s="9" t="s">
        <v>288</v>
      </c>
      <c r="C12" s="9" t="s">
        <v>289</v>
      </c>
      <c r="D12" s="9" t="s">
        <v>290</v>
      </c>
      <c r="E12" s="9" t="s">
        <v>291</v>
      </c>
      <c r="F12" s="9" t="s">
        <v>292</v>
      </c>
      <c r="G12" s="9" t="s">
        <v>293</v>
      </c>
    </row>
    <row r="13" spans="1:10" ht="15" customHeight="1" x14ac:dyDescent="0.2">
      <c r="A13" s="9" t="s">
        <v>294</v>
      </c>
      <c r="B13" s="28">
        <v>3731245</v>
      </c>
      <c r="C13" s="28">
        <v>3205467</v>
      </c>
      <c r="D13" s="28">
        <v>2992957</v>
      </c>
      <c r="E13" s="28">
        <v>2751751</v>
      </c>
      <c r="F13" s="28">
        <v>2594048</v>
      </c>
      <c r="G13" s="28">
        <v>2488913</v>
      </c>
    </row>
    <row r="14" spans="1:10" ht="15" customHeight="1" x14ac:dyDescent="0.2">
      <c r="A14" s="9" t="s">
        <v>295</v>
      </c>
      <c r="B14" s="28">
        <v>3623696</v>
      </c>
      <c r="C14" s="28">
        <v>3149769</v>
      </c>
      <c r="D14" s="28">
        <v>2947766</v>
      </c>
      <c r="E14" s="28">
        <v>2699194</v>
      </c>
      <c r="F14" s="28">
        <v>2550101</v>
      </c>
      <c r="G14" s="28">
        <v>2450705</v>
      </c>
    </row>
    <row r="15" spans="1:10" ht="15" customHeight="1" x14ac:dyDescent="0.2">
      <c r="A15" s="9" t="s">
        <v>296</v>
      </c>
      <c r="B15" s="28">
        <v>3548973</v>
      </c>
      <c r="C15" s="28">
        <v>3078142</v>
      </c>
      <c r="D15" s="29">
        <v>2886728</v>
      </c>
      <c r="E15" s="28">
        <v>2651291</v>
      </c>
      <c r="F15" s="28">
        <v>2510029</v>
      </c>
      <c r="G15" s="28">
        <v>2415854</v>
      </c>
    </row>
    <row r="16" spans="1:10" ht="15" customHeight="1" x14ac:dyDescent="0.2">
      <c r="A16" s="9" t="s">
        <v>297</v>
      </c>
      <c r="B16" s="28">
        <v>3482364</v>
      </c>
      <c r="C16" s="28">
        <v>3033215</v>
      </c>
      <c r="D16" s="28">
        <v>2831044</v>
      </c>
      <c r="E16" s="28">
        <v>2607510</v>
      </c>
      <c r="F16" s="28">
        <v>2473390</v>
      </c>
      <c r="G16" s="28">
        <v>2383976</v>
      </c>
    </row>
    <row r="17" spans="1:7" ht="15" customHeight="1" x14ac:dyDescent="0.2">
      <c r="A17" s="9" t="s">
        <v>298</v>
      </c>
      <c r="B17" s="28">
        <v>3399659</v>
      </c>
      <c r="C17" s="28">
        <v>2992739</v>
      </c>
      <c r="D17" s="28">
        <v>2780040</v>
      </c>
      <c r="E17" s="28">
        <v>2567390</v>
      </c>
      <c r="F17" s="28">
        <v>2439801</v>
      </c>
      <c r="G17" s="28">
        <v>2354741</v>
      </c>
    </row>
    <row r="18" spans="1:7" ht="15" customHeight="1" x14ac:dyDescent="0.2">
      <c r="A18" s="9" t="s">
        <v>300</v>
      </c>
      <c r="B18" s="28">
        <v>3345418</v>
      </c>
      <c r="C18" s="28">
        <v>2935869</v>
      </c>
      <c r="D18" s="28">
        <v>2733199</v>
      </c>
      <c r="E18" s="28">
        <v>2530529</v>
      </c>
      <c r="F18" s="28">
        <v>2408927</v>
      </c>
      <c r="G18" s="28">
        <v>2327859</v>
      </c>
    </row>
    <row r="20" spans="1:7" ht="15" customHeight="1" x14ac:dyDescent="0.2">
      <c r="A20" s="9" t="s">
        <v>302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Conservative</vt:lpstr>
      <vt:lpstr>Realistic</vt:lpstr>
      <vt:lpstr>Ambitious</vt:lpstr>
      <vt:lpstr>Summary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Pilar Gonzalez</cp:lastModifiedBy>
  <cp:revision>0</cp:revision>
  <dcterms:created xsi:type="dcterms:W3CDTF">2026-06-12T08:57:00Z</dcterms:created>
  <dcterms:modified xsi:type="dcterms:W3CDTF">2026-08-28T08:33:18Z</dcterms:modified>
  <dc:language>en-US</dc:language>
</cp:coreProperties>
</file>